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Yhteenveto" sheetId="2" state="visible" r:id="rId2"/>
    <sheet xmlns:r="http://schemas.openxmlformats.org/officeDocument/2006/relationships" name="Tutkijan kysymykset" sheetId="3" state="visible" r:id="rId3"/>
    <sheet xmlns:r="http://schemas.openxmlformats.org/officeDocument/2006/relationships" name="Lähteet" sheetId="4" state="visible" r:id="rId4"/>
  </sheets>
  <definedNames>
    <definedName name="_xlnm._FilterDatabase" localSheetId="0" hidden="1">'Evidence Register'!$A$1:$I$50</definedName>
    <definedName name="_xlnm.Print_Titles" localSheetId="0">'Evidence Register'!$1:$1</definedName>
    <definedName name="_xlnm._FilterDatabase" localSheetId="3" hidden="1">'Lähteet'!$A$1:$E$52</definedName>
    <definedName name="_xlnm.Print_Titles" localSheetId="3">'Lähteet'!$1:$1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000000"/>
      <sz val="10"/>
    </font>
    <font>
      <name val="Aptos"/>
      <b val="1"/>
      <color rgb="00182935"/>
      <sz val="10"/>
    </font>
    <font>
      <name val="Aptos Display"/>
      <b val="1"/>
      <color rgb="00FFFFFF"/>
      <sz val="24"/>
    </font>
    <font>
      <name val="Aptos"/>
      <b val="1"/>
      <color rgb="005B6B75"/>
      <sz val="11"/>
    </font>
    <font>
      <name val="Aptos"/>
      <color rgb="00182935"/>
      <sz val="11"/>
    </font>
    <font>
      <name val="Aptos"/>
      <b val="1"/>
      <color rgb="00071A2B"/>
      <sz val="14"/>
    </font>
    <font>
      <name val="Aptos"/>
      <b val="1"/>
      <color rgb="00182935"/>
      <sz val="11"/>
    </font>
    <font>
      <name val="Aptos"/>
      <color rgb="00182935"/>
      <sz val="10"/>
    </font>
  </fonts>
  <fills count="7">
    <fill>
      <patternFill/>
    </fill>
    <fill>
      <patternFill patternType="gray125"/>
    </fill>
    <fill>
      <patternFill patternType="solid">
        <fgColor rgb="00071A2B"/>
      </patternFill>
    </fill>
    <fill>
      <patternFill patternType="solid">
        <fgColor rgb="00D9EDE7"/>
      </patternFill>
    </fill>
    <fill>
      <patternFill patternType="solid">
        <fgColor rgb="00DCEAF5"/>
      </patternFill>
    </fill>
    <fill>
      <patternFill patternType="solid">
        <fgColor rgb="00FFF0CB"/>
      </patternFill>
    </fill>
    <fill>
      <patternFill patternType="solid">
        <fgColor rgb="00F8DADA"/>
      </patternFill>
    </fill>
  </fills>
  <borders count="2">
    <border>
      <left/>
      <right/>
      <top/>
      <bottom/>
      <diagonal/>
    </border>
    <border>
      <bottom style="thin">
        <color rgb="00D9E2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8" fillId="3" borderId="0" pivotButton="0" quotePrefix="0" xfId="0"/>
    <xf numFmtId="0" fontId="6" fillId="0" borderId="0" pivotButton="0" quotePrefix="0" xfId="0"/>
    <xf numFmtId="0" fontId="8" fillId="4" borderId="0" pivotButton="0" quotePrefix="0" xfId="0"/>
    <xf numFmtId="0" fontId="8" fillId="5" borderId="0" pivotButton="0" quotePrefix="0" xfId="0"/>
    <xf numFmtId="0" fontId="8" fillId="6" borderId="0" pivotButton="0" quotePrefix="0" xfId="0"/>
    <xf numFmtId="0" fontId="1" fillId="2" borderId="0" pivotButton="0" quotePrefix="0" xfId="0"/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EvidenceRegister" displayName="EvidenceRegister" ref="A1:I50" headerRowCount="1">
  <autoFilter ref="A1:I50"/>
  <tableColumns count="9">
    <tableColumn id="1" name="Väite"/>
    <tableColumn id="2" name="Dia/osio"/>
    <tableColumn id="3" name="Todiste"/>
    <tableColumn id="4" name="Lähde"/>
    <tableColumn id="5" name="Päivämäärä"/>
    <tableColumn id="6" name="Laskentatapa"/>
    <tableColumn id="7" name="Oletukset"/>
    <tableColumn id="8" name="Luottamustaso"/>
    <tableColumn id="9" name="Puutteet / tarvittava lisänäyttö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showGridLines="0" zoomScale="6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54" customWidth="1" min="3" max="3"/>
    <col width="46" customWidth="1" min="4" max="4"/>
    <col width="15" customWidth="1" min="5" max="5"/>
    <col width="42" customWidth="1" min="6" max="6"/>
    <col width="42" customWidth="1" min="7" max="7"/>
    <col width="16" customWidth="1" min="8" max="8"/>
    <col width="54" customWidth="1" min="9" max="9"/>
  </cols>
  <sheetData>
    <row r="1" ht="34" customHeight="1">
      <c r="A1" s="1" t="inlineStr">
        <is>
          <t>Väite</t>
        </is>
      </c>
      <c r="B1" s="1" t="inlineStr">
        <is>
          <t>Dia/osio</t>
        </is>
      </c>
      <c r="C1" s="1" t="inlineStr">
        <is>
          <t>Todiste</t>
        </is>
      </c>
      <c r="D1" s="1" t="inlineStr">
        <is>
          <t>Lähde</t>
        </is>
      </c>
      <c r="E1" s="1" t="inlineStr">
        <is>
          <t>Päivämäärä</t>
        </is>
      </c>
      <c r="F1" s="1" t="inlineStr">
        <is>
          <t>Laskentatapa</t>
        </is>
      </c>
      <c r="G1" s="1" t="inlineStr">
        <is>
          <t>Oletukset</t>
        </is>
      </c>
      <c r="H1" s="1" t="inlineStr">
        <is>
          <t>Luottamustaso</t>
        </is>
      </c>
      <c r="I1" s="1" t="inlineStr">
        <is>
          <t>Puutteet / tarvittava lisänäyttö</t>
        </is>
      </c>
    </row>
    <row r="2" ht="78" customHeight="1">
      <c r="A2" s="2" t="inlineStr">
        <is>
          <t>Julkisen rekisteriaineiston mukaan patentin kirjattu haltija on Pixan Oy.</t>
        </is>
      </c>
      <c r="B2" s="2" t="inlineStr">
        <is>
          <t>IP-status</t>
        </is>
      </c>
      <c r="C2" s="2" t="inlineStr">
        <is>
          <t>EPO:n päätietueessa kirjattu haltija: Pixan Oy.</t>
        </is>
      </c>
      <c r="D2" s="2" t="inlineStr">
        <is>
          <t>https://register.epo.org/application?number=EP14836345&amp;lng=en&amp;tab=main</t>
        </is>
      </c>
      <c r="E2" s="2" t="inlineStr">
        <is>
          <t>2026-07-24</t>
        </is>
      </c>
      <c r="F2" s="2" t="inlineStr">
        <is>
          <t>Suora rekisterihavainto.</t>
        </is>
      </c>
      <c r="G2" s="2" t="inlineStr">
        <is>
          <t>Kirjaus vastaa tarkastelupäivän julkista tietuetta.</t>
        </is>
      </c>
      <c r="H2" s="3" t="inlineStr">
        <is>
          <t>Vahvistettu</t>
        </is>
      </c>
      <c r="I2" s="2" t="inlineStr">
        <is>
          <t>Täydellinen omistusketju, siirtokirjat ja rasitteet on tarkastettava erikseen.</t>
        </is>
      </c>
    </row>
    <row r="3" ht="78" customHeight="1">
      <c r="A3" s="2" t="inlineStr">
        <is>
          <t>Patenttiperheen varhaisin prioriteetti on FI20135829 päivältä 2013-08-14.</t>
        </is>
      </c>
      <c r="B3" s="2" t="inlineStr">
        <is>
          <t>IP-status</t>
        </is>
      </c>
      <c r="C3" s="2" t="inlineStr">
        <is>
          <t>EPO-tietue: FI20135829 · PCT/FI2014/050624 · WO2015022448 · EP3032975.</t>
        </is>
      </c>
      <c r="D3" s="2" t="inlineStr">
        <is>
          <t>https://register.epo.org/application?number=EP14836345&amp;lng=en&amp;tab=main ; https://register.epo.org/application?number=EP14836345&amp;lng=en&amp;tab=family</t>
        </is>
      </c>
      <c r="E3" s="2" t="inlineStr">
        <is>
          <t>2013-08-14</t>
        </is>
      </c>
      <c r="F3" s="2" t="inlineStr">
        <is>
          <t>Suora rekisterihavainto.</t>
        </is>
      </c>
      <c r="G3" s="2" t="inlineStr">
        <is>
          <t>Ei oletuksia.</t>
        </is>
      </c>
      <c r="H3" s="3" t="inlineStr">
        <is>
          <t>Vahvistettu</t>
        </is>
      </c>
      <c r="I3" s="2" t="inlineStr">
        <is>
          <t>Ei olennaista puutetta prioriteettiväitteen osalta.</t>
        </is>
      </c>
    </row>
    <row r="4" ht="78" customHeight="1">
      <c r="A4" s="2" t="inlineStr">
        <is>
          <t>EPO:n keskitetty väite- ja valitusmenettely päättyi patentin pysyttämiseen muutettuna.</t>
        </is>
      </c>
      <c r="B4" s="2" t="inlineStr">
        <is>
          <t>IP-status</t>
        </is>
      </c>
      <c r="C4" s="2" t="inlineStr">
        <is>
          <t>Nicoventures Trading Limited teki väitteen 28.2.2020. Suullinen käsittely pidettiin heinäkuussa 2021, välipäätös annettiin elokuussa 2021, ja Pixanin valitus T1818/21 tehtiin lokakuussa 2021 ja peruttiin 11.12.2023. Muutettu yhdeksän vaatimuksen B2-julkaisu julkaistiin 24.4.2024.</t>
        </is>
      </c>
      <c r="D4" s="2" t="inlineStr">
        <is>
          <t>https://register.epo.org/application?number=EP14836345&amp;lng=en&amp;tab=event ; https://register.epo.org/application?number=EP14836345&amp;lng=en&amp;tab=doclist ; https://data.epo.org/publication-server/rest/v1.2/patents/EP3032975NWB1/document.pdf ; https://data.epo.org/publication-server/rest/v1.2/patents/EP3032975NWB2/document.pdf</t>
        </is>
      </c>
      <c r="E4" s="2" t="inlineStr">
        <is>
          <t>2024-04-24</t>
        </is>
      </c>
      <c r="F4" s="2" t="inlineStr">
        <is>
          <t>Virallisten EPO-tapahtumien ja B2-julkaisun ristiintarkastus.</t>
        </is>
      </c>
      <c r="G4" s="2" t="inlineStr">
        <is>
          <t>Kansallinen voimassaolo käsitellään erikseen.</t>
        </is>
      </c>
      <c r="H4" s="3" t="inlineStr">
        <is>
          <t>Vahvistettu</t>
        </is>
      </c>
      <c r="I4" s="2" t="inlineStr">
        <is>
          <t>Kunkin kansallisen oikeuden nykytila on vahvistettava kansallisesta rekisteristä.</t>
        </is>
      </c>
    </row>
    <row r="5" ht="78" customHeight="1">
      <c r="A5" s="2" t="inlineStr">
        <is>
          <t>Muutetussa EP3032975B2-julkaisussa on yhdeksän vaatimusta.</t>
        </is>
      </c>
      <c r="B5" s="2" t="inlineStr">
        <is>
          <t>Patentoitu ratkaisu</t>
        </is>
      </c>
      <c r="C5" s="2" t="inlineStr">
        <is>
          <t>Myönnetty B1-julkaisu sisälsi 13 vaatimusta. Muutettu B2-julkaisu sisältää 9 vaatimusta, joissa kuvataan muun muassa ohjain ja menetelmä, joissa käytetään tallennettuja resistanssi–tehoarvoja, mitataan resistanssi, sovelletaan ei-suoraan-verrannollista tehosuhdetta ja sallitaan käyttäjäsäätö nollasta poikkeavan minimin ja tallennetun maksimin välillä. Tämä on yleiskielinen tiivistelmä, ei patenttivaatimusten oikeudellinen tulkinta.</t>
        </is>
      </c>
      <c r="D5" s="2" t="inlineStr">
        <is>
          <t>https://data.epo.org/publication-server/rest/v1.2/patents/EP3032975NWB2/document.pdf</t>
        </is>
      </c>
      <c r="E5" s="2" t="inlineStr">
        <is>
          <t>2024-04-24</t>
        </is>
      </c>
      <c r="F5" s="2" t="inlineStr">
        <is>
          <t>B2-julkaisun vaatimusten lukumäärä.</t>
        </is>
      </c>
      <c r="G5" s="2" t="inlineStr">
        <is>
          <t>Yleiskielinen tiivistelmä ei ole claim construction.</t>
        </is>
      </c>
      <c r="H5" s="3" t="inlineStr">
        <is>
          <t>Vahvistettu</t>
        </is>
      </c>
      <c r="I5" s="2" t="inlineStr">
        <is>
          <t>Maakohtainen asiantuntijan vaatimusvertailu tarvitaan kaupallisiin tai oikeudellisiin johtopäätöksiin.</t>
        </is>
      </c>
    </row>
    <row r="6" ht="78" customHeight="1">
      <c r="A6" s="2" t="inlineStr">
        <is>
          <t>Patenttiperheessä on 22 julkaisupohjaista tietuetta.</t>
        </is>
      </c>
      <c r="B6" s="2" t="inlineStr">
        <is>
          <t>Maantieteellinen kattavuus</t>
        </is>
      </c>
      <c r="C6" s="2" t="inlineStr">
        <is>
          <t>Julkisen patenttihistoriadatan familyRecordCount = 22.</t>
        </is>
      </c>
      <c r="D6" s="2" t="inlineStr">
        <is>
          <t>https://register.epo.org/application?number=EP14836345&amp;lng=en&amp;tab=family</t>
        </is>
      </c>
      <c r="E6" s="2" t="inlineStr">
        <is>
          <t>2026-07-24</t>
        </is>
      </c>
      <c r="F6" s="2" t="inlineStr">
        <is>
          <t>EPO-perhejulkaisujen lukumäärä; ei voimassa olevien oikeuksien lukumäärä.</t>
        </is>
      </c>
      <c r="G6" s="2" t="inlineStr">
        <is>
          <t>Julkaisutietue rinnastetaan vain perhereitiksi.</t>
        </is>
      </c>
      <c r="H6" s="4" t="inlineStr">
        <is>
          <t>Tuettu</t>
        </is>
      </c>
      <c r="I6" s="2" t="inlineStr">
        <is>
          <t>Vahvista omistus, maksut, käytettävät vaatimukset ja voimassaolo jokaisessa maassa.</t>
        </is>
      </c>
    </row>
    <row r="7" ht="78" customHeight="1">
      <c r="A7" s="2" t="inlineStr">
        <is>
          <t>Saksan virallinen tapahtuma: Mitätöintikanne hylättiin; valitus vireillä (14.1.2026).</t>
        </is>
      </c>
      <c r="B7" s="2" t="inlineStr">
        <is>
          <t>Oikeudellinen näyttö</t>
        </is>
      </c>
      <c r="C7" s="2" t="inlineStr">
        <is>
          <t>Virallinen tuomio hylkäsi EP3032975B2:n Saksan osaa koskevan mitättömyyskanteen. Virallinen rekisteri mainitsee valituksen liittovaltion ylimpään tuomioistuimeen asianumerolla X ZR 21/26.</t>
        </is>
      </c>
      <c r="D7" s="2" t="inlineStr">
        <is>
          <t>https://www.rechtsprechung-im-internet.de/jportal/?quelle=jlink&amp;docid=JURE269032275&amp;psml=bsjrsprod.psml</t>
        </is>
      </c>
      <c r="E7" s="2" t="inlineStr">
        <is>
          <t>2026-01-14</t>
        </is>
      </c>
      <c r="F7" s="2" t="inlineStr">
        <is>
          <t>Virallisen ratkaisun ja valitusviitteen lukeminen.</t>
        </is>
      </c>
      <c r="G7" s="2" t="inlineStr">
        <is>
          <t>Maantieteellinen ja prosessuaalinen rajaus: Saksa. Ei lainvoimainen BGH-valituksen ollessa vireillä.</t>
        </is>
      </c>
      <c r="H7" s="3" t="inlineStr">
        <is>
          <t>Vahvistettu</t>
        </is>
      </c>
      <c r="I7" s="2" t="inlineStr">
        <is>
          <t>Seuraa muutoksenhakua X ZR 21/26, sen lopputulosta, täytäntöönpanoa ja mahdollisia maksettuja korvauksia.</t>
        </is>
      </c>
    </row>
    <row r="8" ht="78" customHeight="1">
      <c r="A8" s="2" t="inlineStr">
        <is>
          <t>Saksan virallinen tapahtuma koski vaatimuksia 1 ja 6: Tarkasteltujen tuotteiden todettiin loukkaavan patenttia.</t>
        </is>
      </c>
      <c r="B8" s="2" t="inlineStr">
        <is>
          <t>Oikeudellinen näyttö</t>
        </is>
      </c>
      <c r="C8" s="2" t="inlineStr">
        <is>
          <t>Virallinen tuomio katsoi tarkasteltujen tuotteiden loukkaavan vaatimuksia 1 ja 6 välittömästi ja täydentävien osien osalta välillisesti sekä määräsi tuomiossa luetellut oikeusseuraamukset.</t>
        </is>
      </c>
      <c r="D8" s="2" t="inlineStr">
        <is>
          <t>https://www.gesetze-bayern.de/Content/Document/Y-300-Z-BECKRS-B-2026-N-14206</t>
        </is>
      </c>
      <c r="E8" s="2" t="inlineStr">
        <is>
          <t>2026-04-02</t>
        </is>
      </c>
      <c r="F8" s="2" t="inlineStr">
        <is>
          <t>Virallisen tuomion rajattu kuvaus.</t>
        </is>
      </c>
      <c r="G8" s="2" t="inlineStr">
        <is>
          <t>Maantieteellinen ja prosessuaalinen rajaus: Saksa. Virallinen tuomio on saatavilla; valitustilaa, lainvoimaisuutta ja täytäntöönpanoa ei ole tässä julkaisussa riippumattomasti vahvistettu.</t>
        </is>
      </c>
      <c r="H8" s="3" t="inlineStr">
        <is>
          <t>Vahvistettu</t>
        </is>
      </c>
      <c r="I8" s="2" t="inlineStr">
        <is>
          <t>Vahvista valitustila, lainvoimaisuus, täytäntöönpano ja maksetut korvaukset.</t>
        </is>
      </c>
    </row>
    <row r="9" ht="78" customHeight="1">
      <c r="A9" s="2" t="inlineStr">
        <is>
          <t>Kiinan tunnistettu menettely: Kiinan hakijapuolen uudelleentarkastus tunnistettu; perusteluja ei saatu.</t>
        </is>
      </c>
      <c r="B9" s="2" t="inlineStr">
        <is>
          <t>Oikeudellinen näyttö</t>
        </is>
      </c>
      <c r="C9" s="2" t="inlineStr">
        <is>
          <t>RPX merkitsee asian Kiinan patenttien uudelleentarkastuslautakunnan Review Request -menettelyksi. Reitti koskee hylätyn hakemuksen uudelleentarkastusta; kyse ei ole loukkaustuomiosta tai vastapuolen mitätöintiasiasta. Hakijan nimi esitetään muodossa Pixon Limited / 皮克森有限公司 ja vastaa vahvasti Pixanin kiinankielistä nimiversiota, mutta virallista päätöstä ei saatu haettua. CN105764365B julkaistiin myöhemmin myönnettynä 4.5.2021.</t>
        </is>
      </c>
      <c r="D9" s="2" t="inlineStr">
        <is>
          <t>https://litigation.rpxcorp.com/china/prb/5153434-picsen-company-v-pixan-oy-of-365 ; https://www.cnipa.gov.cn/art/2020/6/5/art_1517_92474.html ; https://register.epo.org/application?number=EP14836345&amp;lng=en&amp;tab=family</t>
        </is>
      </c>
      <c r="E9" s="2" t="inlineStr">
        <is>
          <t>2020-08-24</t>
        </is>
      </c>
      <c r="F9" s="2" t="inlineStr">
        <is>
          <t>Sekundäärisen docket-tiedon luokittelu virallisen prosessiohjeen avulla.</t>
        </is>
      </c>
      <c r="G9" s="2" t="inlineStr">
        <is>
          <t>Nimivastaavuus on vahva mutta virallista päätöstä ei saatu.</t>
        </is>
      </c>
      <c r="H9" s="4" t="inlineStr">
        <is>
          <t>Tuettu</t>
        </is>
      </c>
      <c r="I9" s="2" t="inlineStr">
        <is>
          <t>Hanki CNIPA:n virallinen päätös ja sen perustelut.</t>
        </is>
      </c>
    </row>
    <row r="10" ht="78" customHeight="1">
      <c r="A10" s="2" t="inlineStr">
        <is>
          <t>Julkinen atlas sisältää muuttumattoman 195 maan tutkimusuniversumin.</t>
        </is>
      </c>
      <c r="B10" s="2" t="inlineStr">
        <is>
          <t>Markkinan rajaus</t>
        </is>
      </c>
      <c r="C10" s="2" t="inlineStr">
        <is>
          <t>countryCount = 195; universe = UN193+VA+PS.</t>
        </is>
      </c>
      <c r="D10" s="2" t="inlineStr">
        <is>
          <t>https://www.un.org/en/about-us/member-states ; https://www.un.org/en/about-us/non-member-states</t>
        </is>
      </c>
      <c r="E10" s="2" t="inlineStr">
        <is>
          <t>2026-07-24</t>
        </is>
      </c>
      <c r="F10" s="2" t="inlineStr">
        <is>
          <t>193 YK:n jäsenvaltiota + Pyhä istuin + Palestiinan valtio.</t>
        </is>
      </c>
      <c r="G10" s="2" t="inlineStr">
        <is>
          <t>Universumi on tutkimusrunko, ei todistettu markkinapeitto.</t>
        </is>
      </c>
      <c r="H10" s="3" t="inlineStr">
        <is>
          <t>Vahvistettu</t>
        </is>
      </c>
      <c r="I10" s="2" t="inlineStr">
        <is>
          <t>Ei puutetta universumin määrittelyssä; evidenssipeitto on erillinen asia.</t>
        </is>
      </c>
    </row>
    <row r="11" ht="78" customHeight="1">
      <c r="A11" s="2" t="inlineStr">
        <is>
          <t>Hyväksyttyjä vuosittaisia virallisia määrähavaintoja on kuudesta maasta.</t>
        </is>
      </c>
      <c r="B11" s="2" t="inlineStr">
        <is>
          <t>Markkinan koko</t>
        </is>
      </c>
      <c r="C11" s="2" t="inlineStr">
        <is>
          <t>Hyväksytyt maat ovat Kanada, Saksa, Suomi, Uusi-Seelanti, Puola ja Ruotsi. 20 virallista tietuetta sisältävät eri tapahtumatasoja, valuuttoja ja tuoterajauksia.</t>
        </is>
      </c>
      <c r="D11" s="2" t="inlineStr">
        <is>
          <t>site/data/market-values.json (julkisen sivuston koneellisesti luettava lähdetiedosto)</t>
        </is>
      </c>
      <c r="E11" s="2" t="inlineStr">
        <is>
          <t>2026-07-24</t>
        </is>
      </c>
      <c r="F11" s="2" t="inlineStr">
        <is>
          <t>Uniikit maat vuosihavainnoista, joiden evidenceStatus alkaa official_.</t>
        </is>
      </c>
      <c r="G11" s="2" t="inlineStr">
        <is>
          <t>Virallinen julkaisu ei tee mittareista automaattisesti vertailukelpoisia maiden välillä.</t>
        </is>
      </c>
      <c r="H11" s="3" t="inlineStr">
        <is>
          <t>Vahvistettu</t>
        </is>
      </c>
      <c r="I11" s="2" t="inlineStr">
        <is>
          <t>Tarvitaan vertailukelpoiset laite- ja nestemyyntisarjat muista maista.</t>
        </is>
      </c>
    </row>
    <row r="12" ht="78" customHeight="1">
      <c r="A12" s="2" t="inlineStr">
        <is>
          <t>Hyväksyttyjä virallisia koko vuoden kansallisia kuluttajavähittäisarvon luovuttajamarkkinoita on nolla.</t>
        </is>
      </c>
      <c r="B12" s="2" t="inlineStr">
        <is>
          <t>Markkinan koko</t>
        </is>
      </c>
      <c r="C12" s="2" t="inlineStr">
        <is>
          <t>comparableFullYearMarketValueDonors = 0. Neljä ehdokastestiä on julkaistu saman 10 ehdon protokollan mukaan.</t>
        </is>
      </c>
      <c r="D12" s="2" t="inlineStr">
        <is>
          <t>site/data/market-values.json (modelReadiness, donorProtocol ja donorCandidates)</t>
        </is>
      </c>
      <c r="E12" s="2" t="inlineStr">
        <is>
          <t>2026-07-24</t>
        </is>
      </c>
      <c r="F12" s="2" t="inlineStr">
        <is>
          <t>Ehdokas lasketaan luovuttajaksi vain, jos D1–D10 täyttyvät kaikki; hylätty tai avoin ehto pitää sen lukumäärän ulkopuolella.</t>
        </is>
      </c>
      <c r="G12" s="2" t="inlineStr">
        <is>
          <t>Virallisia alarajoja, institutionaalisia vertailuarvoja, toimitusarvoja, verotuloja, fyysisiä määriä ja malleja ei nimetä uudelleen täydelliseksi kuluttajavähittäisarvoksi.</t>
        </is>
      </c>
      <c r="H12" s="3" t="inlineStr">
        <is>
          <t>Vahvistettu</t>
        </is>
      </c>
      <c r="I12" s="2" t="inlineStr">
        <is>
          <t>Tarvitaan vähintään kolme hyväksyttyä luovuttajaa sekä alue- ja sääntelytyyppien peitto.</t>
        </is>
      </c>
    </row>
    <row r="13" ht="78" customHeight="1">
      <c r="A13" s="2" t="inlineStr">
        <is>
          <t>Uuden-Seelannin vuoden 2024 erikoistuneiden sähkötupakkakauppiaiden myynniksi ilmoitettiin vähintään 280 milj. NZD.</t>
        </is>
      </c>
      <c r="B13" s="2" t="inlineStr">
        <is>
          <t>Markkinan koko</t>
        </is>
      </c>
      <c r="C13" s="2" t="inlineStr">
        <is>
          <t>Terveysministeriö julkaisee virallisen kuluttajavähittäismyynnin alarajan, joka perustuu vain puutteellisiin erikoistuneiden sähkötupakkakauppiaiden myynteihin. Yleisvähittäiskauppa puuttuu, viereisiä ilmoitusvelvollisia tuotteita sisältyy eikä ministeriö suosittele aineistoa perusteelliseen tutkimukseen.</t>
        </is>
      </c>
      <c r="D13" s="2" t="inlineStr">
        <is>
          <t>https://www.health.govt.nz/regulation-legislation/vaping-herbal-smoking-and-smokeless-tobacco/requirements/complete-a-notifiable-product-annual-return/annual-returns-2024</t>
        </is>
      </c>
      <c r="E13" s="2" t="inlineStr">
        <is>
          <t>2024</t>
        </is>
      </c>
      <c r="F13" s="2" t="inlineStr">
        <is>
          <t>Virallista vähintään-otsikkolukua käytetään suoraan; ei ekstrapolointia eikä muiden palautustyyppien yhteenlaskua.</t>
        </is>
      </c>
      <c r="G13" s="2" t="inlineStr">
        <is>
          <t>Luku on alaraja, ei koko maan sähkötupakkamarkkinan arvo.</t>
        </is>
      </c>
      <c r="H13" s="3" t="inlineStr">
        <is>
          <t>Vahvistettu</t>
        </is>
      </c>
      <c r="I13" s="2" t="inlineStr">
        <is>
          <t>Hanki täydellinen valtakunnallinen vain sähkötupakkatuotteita koskeva vähittäiskaupan koonti, GST-perusta ja riippumaton täsmäytys.</t>
        </is>
      </c>
    </row>
    <row r="14" ht="78" customHeight="1">
      <c r="A14" s="2" t="inlineStr">
        <is>
          <t>Uuden-Seelannin 29 virallisen vuoden 2024 XLSX-tiedoston 612 765 numeerisen Total sales -solun raakasumma on 280 684 512,81 NZD.</t>
        </is>
      </c>
      <c r="B14" s="2" t="inlineStr">
        <is>
          <t>Markkinan koko</t>
        </is>
      </c>
      <c r="C14" s="2" t="inlineStr">
        <is>
          <t>Raakasumma täsmää ministeriön vähintään 280 milj. NZD otsikkolukuun. Aineistossa on 95 144 täsmälleen toistuvaa riviallekirjoitusta; niiden ensimmäisen esiintymän jälkeinen poistaminen antaisi 264 561 055,05 NZD, mutta toistojen merkitystä ei ole vahvistettu.</t>
        </is>
      </c>
      <c r="D14" s="2" t="inlineStr">
        <is>
          <t>https://www.health.govt.nz/regulation-legislation/vaping-herbal-smoking-and-smokeless-tobacco/requirements/complete-a-notifiable-product-annual-return/annual-returns-2024 ; source/NZ_2024_ANNUAL_RETURNS_RECONCILIATION.md</t>
        </is>
      </c>
      <c r="E14" s="2" t="inlineStr">
        <is>
          <t>2026-07-24</t>
        </is>
      </c>
      <c r="F14" s="2" t="inlineStr">
        <is>
          <t>Kaikkien 29 virallisen XLSX-tiedoston numeeristen Total sales -solujen suora summa; ei deduplikointia, puhdistusta tai ekstrapolointia.</t>
        </is>
      </c>
      <c r="G14" s="2" t="inlineStr">
        <is>
          <t>Toistuvat rivit säilytetään raakasummassa, koska niiden liiketoiminnallista merkitystä ei tunneta.</t>
        </is>
      </c>
      <c r="H14" s="4" t="inlineStr">
        <is>
          <t>Tuettu</t>
        </is>
      </c>
      <c r="I14" s="2" t="inlineStr">
        <is>
          <t>Raakasumma ei ole puhdistettu kansallinen markkina-arvo. Yleisvähittäiskauppa, puuttuvat ilmoitukset ja GST-käsittely ovat avoimia.</t>
        </is>
      </c>
    </row>
    <row r="15" ht="78" customHeight="1">
      <c r="A15" s="2" t="inlineStr">
        <is>
          <t>Varovainen tekstiluokitus tunnistaa Uuden-Seelannin vuoden 2024 sähkötupakkatuoterivien raakasummaksi 274 180 410,21 NZD.</t>
        </is>
      </c>
      <c r="B15" s="2" t="inlineStr">
        <is>
          <t>Markkinan koko</t>
        </is>
      </c>
      <c r="C15" s="2" t="inlineStr">
        <is>
          <t>Viereisiksi ilmoitusvelvollisiksi tuotteiksi tunnistettiin 2 137 085,24 NZD ja ratkaisemattomaksi tuotetyypiksi 4 367 017,37 NZD. Sähkötupakkarivien toistorivien poistamisen herkkyys on 258 327 110,88 NZD, mutta se ei ole korjattu estimaatti.</t>
        </is>
      </c>
      <c r="D15" s="2" t="inlineStr">
        <is>
          <t>https://www.health.govt.nz/regulation-legislation/vaping-herbal-smoking-and-smokeless-tobacco/requirements/complete-a-notifiable-product-annual-return/annual-returns-2024 ; source/NZ_2024_ANNUAL_RETURNS_RECONCILIATION.md</t>
        </is>
      </c>
      <c r="E15" s="2" t="inlineStr">
        <is>
          <t>2026-07-24</t>
        </is>
      </c>
      <c r="F15" s="2" t="inlineStr">
        <is>
          <t>Konservatiivinen Product type -tekstiluokitus virallisten XLSX-tiedostojen tuoteriveille; luokittelu- ja toistoriviherkkyys raportoidaan erikseen.</t>
        </is>
      </c>
      <c r="G15" s="2" t="inlineStr">
        <is>
          <t>Tuotetyyppikentän virheet ja ratkaisemattomat rivit estävät kattavan sähkötupakkamarkkinan tulkinnan.</t>
        </is>
      </c>
      <c r="H15" s="4" t="inlineStr">
        <is>
          <t>Tuettu</t>
        </is>
      </c>
      <c r="I15" s="2" t="inlineStr">
        <is>
          <t>Hanki viranomaisen tuotekoodisanasto, toistorivien semantiikka, täydellinen kanavapeitto ja GST-perusta. Luku ei kelpaa luovuttajaksi.</t>
        </is>
      </c>
    </row>
    <row r="16" ht="78" customHeight="1">
      <c r="A16" s="2" t="inlineStr">
        <is>
          <t>Euroopan komissio julkaisee vuoden 2023 EU:n sähkötupakkamarkkinan 4,99 mrd euron vertailuarvon.</t>
        </is>
      </c>
      <c r="B16" s="2" t="inlineStr">
        <is>
          <t>Markkinan koko</t>
        </is>
      </c>
      <c r="C16" s="2" t="inlineStr">
        <is>
          <t>SWD(2026) 111:n fyysisen PDF:n sivun 25 alaviite 83 nimeää seuraavien sivujen taulukoiden lähteeksi Euromonitor International Tobacco 2025 -aineiston; fyysisen sivun 27 taulukko 4 raportoi 4,99 mrd euroa. SWD(2025) 560:n fyysinen sivu 161 kuvaa lähes 5 mrd euron koonnin, joka sisältää laitteet ja nesteet, myös nikotiinittomat; sivu 162 ilmoittaa Kyproksen, Luxemburgin ja Maltan tiedot puuttuviksi.</t>
        </is>
      </c>
      <c r="D16" s="2" t="inlineStr">
        <is>
          <t>https://eur-lex.europa.eu/legal-content/EN/TXT/?uri=SWD%3A2025%3A0560%3AFIN ; https://eur-lex.europa.eu/legal-content/EN/TXT/?uri=SWD%3A2026%3A111%3AFIN</t>
        </is>
      </c>
      <c r="E16" s="2" t="inlineStr">
        <is>
          <t>2023</t>
        </is>
      </c>
      <c r="F16" s="2" t="inlineStr">
        <is>
          <t>Kahden Euroopan komission valmisteluasiakirjan taulukko-, sivu- ja lähdeviitteiden ristiinvertailu; lukuja ei summata.</t>
        </is>
      </c>
      <c r="G16" s="2" t="inlineStr">
        <is>
          <t>Komissio julkaisee vertailuarvon, mutta sen pohjana on kaupallinen Euromonitor-aineisto. Täysi menetelmä, veroperusta ja uudelleenkäytettävä maadata eivät ole julkisia, ja kolmesta EU-maasta ei ole tietoa.</t>
        </is>
      </c>
      <c r="H16" s="4" t="inlineStr">
        <is>
          <t>Tuettu</t>
        </is>
      </c>
      <c r="I16" s="2" t="inlineStr">
        <is>
          <t>Hanki lisensoitu maataulukko ja menetelmä, tapahtumamääritelmä, kanavapeitto, veroperusta sekä riippumaton täsmäytys; täydennä Kypros, Luxemburg ja Malta.</t>
        </is>
      </c>
    </row>
    <row r="17" ht="78" customHeight="1">
      <c r="A17" s="2" t="inlineStr">
        <is>
          <t>Kanadan vuoden 2024 valmistaja- ja maahantuojatoimitusten arvo oli 1,16075379678 mrd CAD.</t>
        </is>
      </c>
      <c r="B17" s="2" t="inlineStr">
        <is>
          <t>Markkinan koko</t>
        </is>
      </c>
      <c r="C17" s="2" t="inlineStr">
        <is>
          <t>Virallinen koko vuoden toimitusarvo tukku- tai vähittäismyyjille kaikissa neljässä raportoidussa tuoteryhmässä. Kyse ei ole kuluttajien vähittäisostoista, ja Health Canada voi tarkistaa tietoa.</t>
        </is>
      </c>
      <c r="D17" s="2" t="inlineStr">
        <is>
          <t>https://health-infobase.canada.ca/substance-use/vaping/sales/</t>
        </is>
      </c>
      <c r="E17" s="2" t="inlineStr">
        <is>
          <t>2024</t>
        </is>
      </c>
      <c r="F17" s="2" t="inlineStr">
        <is>
          <t>Health Canadan neljän raportoidun tuoteryhmän toimitusarvon summa.</t>
        </is>
      </c>
      <c r="G17" s="2" t="inlineStr">
        <is>
          <t>Ei kuluttajavähittäismyyntiä.</t>
        </is>
      </c>
      <c r="H17" s="3" t="inlineStr">
        <is>
          <t>Vahvistettu</t>
        </is>
      </c>
      <c r="I17" s="2" t="inlineStr">
        <is>
          <t>Tarvitaan vähittäismarginaali-, kanava- ja varastomuutostäsmäytys.</t>
        </is>
      </c>
    </row>
    <row r="18" ht="78" customHeight="1">
      <c r="A18" s="2" t="inlineStr">
        <is>
          <t>Kanadan vuoden 2024 raportoidut toimitukset sisälsivät 1 251 843 litraa nestettä.</t>
        </is>
      </c>
      <c r="B18" s="2" t="inlineStr">
        <is>
          <t>Markkinan koko</t>
        </is>
      </c>
      <c r="C18" s="2" t="inlineStr">
        <is>
          <t>Höyrystettävää ainetta sisältävien tuoteryhmien ilmoitettu määrä. Se on fyysinen määrä, ei vähittäismarkkina-arvo.</t>
        </is>
      </c>
      <c r="D18" s="2" t="inlineStr">
        <is>
          <t>https://health-infobase.canada.ca/substance-use/vaping/sales/</t>
        </is>
      </c>
      <c r="E18" s="2" t="inlineStr">
        <is>
          <t>2024</t>
        </is>
      </c>
      <c r="F18" s="2" t="inlineStr">
        <is>
          <t>Raportoitujen nestettä sisältävien tuoteryhmien summa.</t>
        </is>
      </c>
      <c r="G18" s="2" t="inlineStr">
        <is>
          <t>Fyysinen määrä, ei markkina-arvo.</t>
        </is>
      </c>
      <c r="H18" s="3" t="inlineStr">
        <is>
          <t>Vahvistettu</t>
        </is>
      </c>
      <c r="I18" s="2" t="inlineStr">
        <is>
          <t>Tarvitaan tuotemixin, keskihinnan ja vähittäiskanavan tiedot.</t>
        </is>
      </c>
    </row>
    <row r="19" ht="78" customHeight="1">
      <c r="A19" s="2" t="inlineStr">
        <is>
          <t>Saksan verotettu nestemäärä kasvoi 1.241 milj. l:sta 1.518 milj. l:aan vuosina 2023–2025.</t>
        </is>
      </c>
      <c r="B19" s="2" t="inlineStr">
        <is>
          <t>Markkinan koko</t>
        </is>
      </c>
      <c r="C19" s="2" t="inlineStr">
        <is>
          <t>2023 ja 2024 lopullisia; 2025 alustava.</t>
        </is>
      </c>
      <c r="D19" s="2" t="inlineStr">
        <is>
          <t>https://genesis.destatis.de/datenbank/online/statistic/73411/table/73411-0003</t>
        </is>
      </c>
      <c r="E19" s="2" t="inlineStr">
        <is>
          <t>2023–2025</t>
        </is>
      </c>
      <c r="F19" s="2" t="inlineStr">
        <is>
          <t>Destatis-taulukon nettomäärät, ei ekstrapolointia.</t>
        </is>
      </c>
      <c r="G19" s="2" t="inlineStr">
        <is>
          <t>Mittaa verotettua nestettä, ei laitteita tai laitonta myyntiä.</t>
        </is>
      </c>
      <c r="H19" s="3" t="inlineStr">
        <is>
          <t>Vahvistettu</t>
        </is>
      </c>
      <c r="I19" s="2" t="inlineStr">
        <is>
          <t>Vuoden 2025 lopullinen luku ja vähittäismyyntitiedot puuttuvat.</t>
        </is>
      </c>
    </row>
    <row r="20" ht="78" customHeight="1">
      <c r="A20" s="2" t="inlineStr">
        <is>
          <t>Saksan tupakankorvikkeiden valmisteverotulot olivat 404 milj. euroa vuonna 2025 (alustava).</t>
        </is>
      </c>
      <c r="B20" s="2" t="inlineStr">
        <is>
          <t>Markkinan koko</t>
        </is>
      </c>
      <c r="C20" s="2" t="inlineStr">
        <is>
          <t>Alustavat viralliset kassaperusteiset valmisteverotulot. Verotulo ei ole myyntituloa eikä vähittäismarkkina-arvoa.</t>
        </is>
      </c>
      <c r="D20" s="2" t="inlineStr">
        <is>
          <t>https://genesis.destatis.de/datenbank/online/statistic/73411/table/73411-0003</t>
        </is>
      </c>
      <c r="E20" s="2" t="inlineStr">
        <is>
          <t>2025</t>
        </is>
      </c>
      <c r="F20" s="2" t="inlineStr">
        <is>
          <t>Virallinen kassaperusteinen verohavainto.</t>
        </is>
      </c>
      <c r="G20" s="2" t="inlineStr">
        <is>
          <t>Verotulo ei ole myyntitulo tai vähittäismarkkina-arvo.</t>
        </is>
      </c>
      <c r="H20" s="3" t="inlineStr">
        <is>
          <t>Vahvistettu</t>
        </is>
      </c>
      <c r="I20" s="2" t="inlineStr">
        <is>
          <t>Tarvitaan lopullinen 2025 tilasto ja tuoteryhmäkohtainen veropohja.</t>
        </is>
      </c>
    </row>
    <row r="21" ht="78" customHeight="1">
      <c r="A21" s="2" t="inlineStr">
        <is>
          <t>Suomessa verotettiin 11 801,062 litraa nikotiininestettä vuonna 2025.</t>
        </is>
      </c>
      <c r="B21" s="2" t="inlineStr">
        <is>
          <t>Markkinan koko</t>
        </is>
      </c>
      <c r="C21" s="2" t="inlineStr">
        <is>
          <t>Virallinen koko vuoden nikotiinillisen sähkösavukenesteen määrä. Nikotiinittoman nesteen koko vuoden arvo on salattu; fyysinen määrä ei sisällä laitteita eikä ole vähittäismarkkina-arvo.</t>
        </is>
      </c>
      <c r="D21" s="2" t="inlineStr">
        <is>
          <t>https://vero2.stat.fi/PXWeb/api/v1/en/Vero/Valmistevero/vvt_010.px</t>
        </is>
      </c>
      <c r="E21" s="2" t="inlineStr">
        <is>
          <t>2025</t>
        </is>
      </c>
      <c r="F21" s="2" t="inlineStr">
        <is>
          <t>Verohallinnon PXWeb-havainto.</t>
        </is>
      </c>
      <c r="G21" s="2" t="inlineStr">
        <is>
          <t>Verotettu nikotiinineste ei kata koko sähkötupakkamarkkinaa.</t>
        </is>
      </c>
      <c r="H21" s="3" t="inlineStr">
        <is>
          <t>Vahvistettu</t>
        </is>
      </c>
      <c r="I21" s="2" t="inlineStr">
        <is>
          <t>Laitteet, nikotiinittomat tuotteet, veroton ja laiton kauppa puuttuvat.</t>
        </is>
      </c>
    </row>
    <row r="22" ht="78" customHeight="1">
      <c r="A22" s="2" t="inlineStr">
        <is>
          <t>Suomen nikotiininesteiden valmisteverotulot olivat 3 540 319 euroa vuonna 2025.</t>
        </is>
      </c>
      <c r="B22" s="2" t="inlineStr">
        <is>
          <t>Markkinan koko</t>
        </is>
      </c>
      <c r="C22" s="2" t="inlineStr">
        <is>
          <t>Viralliset koko vuoden nikotiinillisen sähkösavukenesteen valmisteverotulot. Nikotiinittoman nesteen koko vuoden arvo on salattu; verotulo ei ole myyntituloa eikä vähittäismarkkina-arvoa.</t>
        </is>
      </c>
      <c r="D22" s="2" t="inlineStr">
        <is>
          <t>https://vero2.stat.fi/PXWeb/api/v1/en/Vero/Valmistevero/vvt_010.px</t>
        </is>
      </c>
      <c r="E22" s="2" t="inlineStr">
        <is>
          <t>2025</t>
        </is>
      </c>
      <c r="F22" s="2" t="inlineStr">
        <is>
          <t>Verohallinnon PXWeb-havainto.</t>
        </is>
      </c>
      <c r="G22" s="2" t="inlineStr">
        <is>
          <t>Verotulo ei ole kuluttajamyynti.</t>
        </is>
      </c>
      <c r="H22" s="3" t="inlineStr">
        <is>
          <t>Vahvistettu</t>
        </is>
      </c>
      <c r="I22" s="2" t="inlineStr">
        <is>
          <t>Tarvitaan vähittäismyynti- ja hintadata.</t>
        </is>
      </c>
    </row>
    <row r="23" ht="78" customHeight="1">
      <c r="A23" s="2" t="inlineStr">
        <is>
          <t>Puolassa raportoitu sähkötupakkanesteiden määrä oli 805 441 litraa vuonna 2023.</t>
        </is>
      </c>
      <c r="B23" s="2" t="inlineStr">
        <is>
          <t>Markkinan koko</t>
        </is>
      </c>
      <c r="C23" s="2" t="inlineStr">
        <is>
          <t>Virallisessa parlamenttivastauksessa ilmoitettu nestemäärä. Se on fyysinen määrä, ei sisällä laitteiden arvoa eikä ole havaittu vähittäismarkkina-arvo.</t>
        </is>
      </c>
      <c r="D23" s="2" t="inlineStr">
        <is>
          <t>https://api.sejm.gov.pl/sejm/term10/interpellations/attachment/ATTDDEJZ5/i07255-o1.pdf</t>
        </is>
      </c>
      <c r="E23" s="2" t="inlineStr">
        <is>
          <t>2023</t>
        </is>
      </c>
      <c r="F23" s="2" t="inlineStr">
        <is>
          <t>Parlamentaariseen vastaukseen raportoitu määrä.</t>
        </is>
      </c>
      <c r="G23" s="2" t="inlineStr">
        <is>
          <t>Mittarin kattavuus on luettava alkuperäislähteen rajauksin.</t>
        </is>
      </c>
      <c r="H23" s="3" t="inlineStr">
        <is>
          <t>Vahvistettu</t>
        </is>
      </c>
      <c r="I23" s="2" t="inlineStr">
        <is>
          <t>Tarvitaan uudempi vuosisarja ja vähittäisarvo.</t>
        </is>
      </c>
    </row>
    <row r="24" ht="78" customHeight="1">
      <c r="A24" s="2" t="inlineStr">
        <is>
          <t>Puolan vuoden 2025 ilmoitettu e-nestevalmisteveron määrä oli 993,1 milj. PLN.</t>
        </is>
      </c>
      <c r="B24" s="2" t="inlineStr">
        <is>
          <t>Markkinan koko</t>
        </is>
      </c>
      <c r="C24" s="2" t="inlineStr">
        <is>
          <t>Virallisessa parlamenttivastauksessa ilmoitettu veromäärä. Se ei ole myyntituloa eikä vähittäismarkkina-arvoa, ja se pidetään erillään laitteiden ja osasarjojen veromääristä.</t>
        </is>
      </c>
      <c r="D24" s="2" t="inlineStr">
        <is>
          <t>https://api.sejm.gov.pl/sejm/term10/interpellations/attachment/ATTDVKHSJ/i17526-o1.pdf</t>
        </is>
      </c>
      <c r="E24" s="2" t="inlineStr">
        <is>
          <t>2025</t>
        </is>
      </c>
      <c r="F24" s="2" t="inlineStr">
        <is>
          <t>Parlamentaariseen vastaukseen raportoitu veromäärä.</t>
        </is>
      </c>
      <c r="G24" s="2" t="inlineStr">
        <is>
          <t>Veromäärä ei ole vähittäismyynti.</t>
        </is>
      </c>
      <c r="H24" s="3" t="inlineStr">
        <is>
          <t>Vahvistettu</t>
        </is>
      </c>
      <c r="I24" s="2" t="inlineStr">
        <is>
          <t>Tarvitaan toteuman lopullisuus ja veropohjan täsmäytys.</t>
        </is>
      </c>
    </row>
    <row r="25" ht="78" customHeight="1">
      <c r="A25" s="2" t="inlineStr">
        <is>
          <t>Ruotsissa verotettiin 26 000 litraa nikotiininestettä vuonna 2024.</t>
        </is>
      </c>
      <c r="B25" s="2" t="inlineStr">
        <is>
          <t>Markkinan koko</t>
        </is>
      </c>
      <c r="C25" s="2" t="inlineStr">
        <is>
          <t>Taulukon 7.5 pyöristetty virallinen määrä. Se kattaa nikotiinillisen sähkösavukenesteen, ei sisällä laitteita tai nikotiinitonta nestettä eikä ole vähittäismarkkina-arvo.</t>
        </is>
      </c>
      <c r="D25" s="2" t="inlineStr">
        <is>
          <t>https://www.regeringen.se/contentassets/1ed01e00001b42e5ad8d47433db63ece/berakningskonventioner_2026.pdf</t>
        </is>
      </c>
      <c r="E25" s="2" t="inlineStr">
        <is>
          <t>2024</t>
        </is>
      </c>
      <c r="F25" s="2" t="inlineStr">
        <is>
          <t>Hallituksen laskentaperusteessa ilmoitettu määrä.</t>
        </is>
      </c>
      <c r="G25" s="2" t="inlineStr">
        <is>
          <t>Verotettu nikotiinineste ei kata koko sähkötupakkamarkkinaa.</t>
        </is>
      </c>
      <c r="H25" s="3" t="inlineStr">
        <is>
          <t>Vahvistettu</t>
        </is>
      </c>
      <c r="I25" s="2" t="inlineStr">
        <is>
          <t>Tarvitaan toteutunut vähittäismyynti ja laitedata.</t>
        </is>
      </c>
    </row>
    <row r="26" ht="78" customHeight="1">
      <c r="A26" s="2" t="inlineStr">
        <is>
          <t>Kolme kaupallista vuoden 2025 globaaliarviota muodostavat 26,0–46,32 mrd USD haarukan.</t>
        </is>
      </c>
      <c r="B26" s="2" t="inlineStr">
        <is>
          <t>Markkinan koko</t>
        </is>
      </c>
      <c r="C26" s="2" t="inlineStr">
        <is>
          <t>IMARC 26,0; Grand View Research 45,7; Fortune Business Insights 46,32 mrd USD.</t>
        </is>
      </c>
      <c r="D26" s="2" t="inlineStr">
        <is>
          <t>https://www.imarcgroup.com/e-cigarette-market ; https://www.grandviewresearch.com/industry-analysis/e-cigarette-vaping-market ; https://www.fortunebusinessinsights.com/e-cigarette-and-vaping-market-114882</t>
        </is>
      </c>
      <c r="E26" s="2" t="inlineStr">
        <is>
          <t>2025</t>
        </is>
      </c>
      <c r="F26" s="2" t="inlineStr">
        <is>
          <t>Minimi 26000000000, maksimi 46320000000; arvioita verrataan, ei summata.</t>
        </is>
      </c>
      <c r="G26" s="2" t="inlineStr">
        <is>
          <t>Tuoterajaukset ja menetelmät eivät välttämättä ole yhteismitallisia.</t>
        </is>
      </c>
      <c r="H26" s="4" t="inlineStr">
        <is>
          <t>Tuettu</t>
        </is>
      </c>
      <c r="I26" s="2" t="inlineStr">
        <is>
          <t>Hanki raporttien täydet metodit ja harmonisoi tuoterajaus.</t>
        </is>
      </c>
    </row>
    <row r="27" ht="78" customHeight="1">
      <c r="A27" s="2" t="inlineStr">
        <is>
          <t>Saksan vuoden 2025 verotetun nesteen vähittäismyyntivastaavuuden mallihaitari on 667,92–1 654,62 milj. euroa.</t>
        </is>
      </c>
      <c r="B27" s="2" t="inlineStr">
        <is>
          <t>Taloudellinen malli</t>
        </is>
      </c>
      <c r="C27" s="2" t="inlineStr">
        <is>
          <t>Ei havaittua myyntiä. Laskelma kertoo vuoden 2025 alustavan verotetun nestemäärän kolmella yksittäisellä saksalaisen verkkokaupan vuoden 2026 hinnalla. Vuosiero, yhden kaupan hintakori, tuotejakauma ja pois rajatut tuoteryhmät tekevät luottamustasosta matalan.</t>
        </is>
      </c>
      <c r="D27" s="2" t="inlineStr">
        <is>
          <t>https://genesis.destatis.de/datenbank/online/statistic/73411/table/73411-0003 ; https://www.intaste.de/pfefferminz-liquid-germanflavours-liquid ; https://www.intaste.de/anstand-liquid-samurai-liquid ; https://www.intaste.de/tobacco-vanilla-nikotinsalz-revoltage-liquid</t>
        </is>
      </c>
      <c r="E27" s="2" t="inlineStr">
        <is>
          <t>2025 määrä / 2026 hinnat</t>
        </is>
      </c>
      <c r="F27" s="2" t="inlineStr">
        <is>
          <t>volume_litres * 1000 * retail_price_eur_per_ml</t>
        </is>
      </c>
      <c r="G27" s="2" t="inlineStr">
        <is>
          <t>Kolme yksittäistä verkkokauppahintaa; syötevuodet 2025 ja 2026; vain verotettu neste.</t>
        </is>
      </c>
      <c r="H27" s="5" t="inlineStr">
        <is>
          <t>Oletus</t>
        </is>
      </c>
      <c r="I27" s="2" t="inlineStr">
        <is>
          <t>Tarvitaan edustava hintakori, tuotemix ja kanavamarginaalit sekä mallivuoden 2025 hinnat.</t>
        </is>
      </c>
    </row>
    <row r="28" ht="78" customHeight="1">
      <c r="A28" s="2" t="inlineStr">
        <is>
          <t>Atlas ei ole vielä lainanantajavalmis markkina-arvio.</t>
        </is>
      </c>
      <c r="B28" s="2" t="inlineStr">
        <is>
          <t>Rahoitusteesi</t>
        </is>
      </c>
      <c r="C28" s="2" t="inlineStr">
        <is>
          <t>research_dataset_not_valuation: Useimmista maista puuttuu virallinen vuosittainen laite- ja nestemyynti Markkinaevidenssiä ei ole vielä sidottu maakohtaiseen patenttistatukseen ja claim charteihin Aineisto ei sisällä riippumatonta IVS-arvonmääritystä eikä realisoitunutta lisenssi- tai vahingonkorvauskassavirtaa</t>
        </is>
      </c>
      <c r="D28" s="2" t="inlineStr">
        <is>
          <t>site/data/atlas.json (readiness)</t>
        </is>
      </c>
      <c r="E28" s="2" t="inlineStr">
        <is>
          <t>2026-07-24</t>
        </is>
      </c>
      <c r="F28" s="2" t="inlineStr">
        <is>
          <t>Julkisen datasetin oma readiness-luokitus.</t>
        </is>
      </c>
      <c r="G28" s="2" t="inlineStr">
        <is>
          <t>Markkinadata ja IP-arvo pidetään erillään.</t>
        </is>
      </c>
      <c r="H28" s="3" t="inlineStr">
        <is>
          <t>Vahvistettu</t>
        </is>
      </c>
      <c r="I28" s="2" t="inlineStr">
        <is>
          <t>Täytä blocker-lista ennen vakuusarvo- tai yritysarvopäätelmää.</t>
        </is>
      </c>
    </row>
    <row r="29" ht="78" customHeight="1">
      <c r="A29" s="2" t="inlineStr">
        <is>
          <t>Julkinen aineisto ei sisällä riippumatonta IVS-arvonmääritystä.</t>
        </is>
      </c>
      <c r="B29" s="2" t="inlineStr">
        <is>
          <t>Taloudellinen malli</t>
        </is>
      </c>
      <c r="C29" s="2" t="inlineStr">
        <is>
          <t>Readiness-blocker ilmoittaa riippumattoman arvonmäärityksen puuttuvan.</t>
        </is>
      </c>
      <c r="D29" s="2" t="inlineStr">
        <is>
          <t>site/data/atlas.json (readiness.blockers)</t>
        </is>
      </c>
      <c r="E29" s="2" t="inlineStr">
        <is>
          <t>2026-07-24</t>
        </is>
      </c>
      <c r="F29" s="2" t="inlineStr">
        <is>
          <t>Aineiston puute.</t>
        </is>
      </c>
      <c r="G29" s="2" t="inlineStr">
        <is>
          <t>Ei oletuksia.</t>
        </is>
      </c>
      <c r="H29" s="6" t="inlineStr">
        <is>
          <t>Puuttuu</t>
        </is>
      </c>
      <c r="I29" s="2" t="inlineStr">
        <is>
          <t>Tilaa riippumaton IP- ja tarvittaessa yritysarvonmääritys skenaarioineen.</t>
        </is>
      </c>
    </row>
    <row r="30" ht="78" customHeight="1">
      <c r="A30" s="2" t="inlineStr">
        <is>
          <t>Julkinen aineisto ei osoita toteutunutta lisenssi- tai vahingonkorvauskassavirtaa.</t>
        </is>
      </c>
      <c r="B30" s="2" t="inlineStr">
        <is>
          <t>Kaupallistamismalli</t>
        </is>
      </c>
      <c r="C30" s="2" t="inlineStr">
        <is>
          <t>Readiness-blocker ilmoittaa realisoituneen kassavirran puuttuvan.</t>
        </is>
      </c>
      <c r="D30" s="2" t="inlineStr">
        <is>
          <t>site/data/atlas.json (readiness.blockers)</t>
        </is>
      </c>
      <c r="E30" s="2" t="inlineStr">
        <is>
          <t>2026-07-24</t>
        </is>
      </c>
      <c r="F30" s="2" t="inlineStr">
        <is>
          <t>Aineiston puute.</t>
        </is>
      </c>
      <c r="G30" s="2" t="inlineStr">
        <is>
          <t>Ei oletuksia.</t>
        </is>
      </c>
      <c r="H30" s="6" t="inlineStr">
        <is>
          <t>Puuttuu</t>
        </is>
      </c>
      <c r="I30" s="2" t="inlineStr">
        <is>
          <t>Lisää allekirjoitetut sopimukset, laskut, maksutositteet ja saamisten täsmäytys.</t>
        </is>
      </c>
    </row>
    <row r="31" ht="78" customHeight="1">
      <c r="A31" s="2" t="inlineStr">
        <is>
          <t>Julkinen aineisto ei vahvista testituloksia tai riippumatonta teknistä validointia.</t>
        </is>
      </c>
      <c r="B31" s="2" t="inlineStr">
        <is>
          <t>Tekninen erottautuminen</t>
        </is>
      </c>
      <c r="C31" s="2" t="inlineStr">
        <is>
          <t>Patenttiselitys kuvaa ratkaisun; erillistä testirekisteriä ei ole julkisessa datassa.</t>
        </is>
      </c>
      <c r="D31" s="2" t="inlineStr">
        <is>
          <t>site/data/patent-history.json</t>
        </is>
      </c>
      <c r="E31" s="2" t="inlineStr">
        <is>
          <t>2026-07-24</t>
        </is>
      </c>
      <c r="F31" s="2" t="inlineStr">
        <is>
          <t>Aineiston puute suhteessa tekniseen suorituskykyväitteeseen.</t>
        </is>
      </c>
      <c r="G31" s="2" t="inlineStr">
        <is>
          <t>Patenttijulkaisu ei ole tuotetestiraportti.</t>
        </is>
      </c>
      <c r="H31" s="6" t="inlineStr">
        <is>
          <t>Puuttuu</t>
        </is>
      </c>
      <c r="I31" s="2" t="inlineStr">
        <is>
          <t>Hanki testiprotokolla, riippumaton laboratorio, tulokset ja raakadata.</t>
        </is>
      </c>
    </row>
    <row r="32" ht="78" customHeight="1">
      <c r="A32" s="2" t="inlineStr">
        <is>
          <t>Julkinen aineisto ei vahvista piloteja tai nimettyä asiakasnäyttöä.</t>
        </is>
      </c>
      <c r="B32" s="2" t="inlineStr">
        <is>
          <t>Validointi</t>
        </is>
      </c>
      <c r="C32" s="2" t="inlineStr">
        <is>
          <t>Julkisessa evidenssirekisterissä ei ole pilotti- tai asiakasvalidointia.</t>
        </is>
      </c>
      <c r="D32" s="2" t="inlineStr">
        <is>
          <t>site/data/evidence.csv</t>
        </is>
      </c>
      <c r="E32" s="2" t="inlineStr">
        <is>
          <t>2026-07-24</t>
        </is>
      </c>
      <c r="F32" s="2" t="inlineStr">
        <is>
          <t>Aineiston puute.</t>
        </is>
      </c>
      <c r="G32" s="2" t="inlineStr">
        <is>
          <t>Ei päätellä asiakkaiden olemassaoloa tai puuttumista yhtiötasolla.</t>
        </is>
      </c>
      <c r="H32" s="6" t="inlineStr">
        <is>
          <t>Puuttuu</t>
        </is>
      </c>
      <c r="I32" s="2" t="inlineStr">
        <is>
          <t>Lisää allekirjoitetut pilotit, toimitusnäyttö, asiakasreferenssit ja käyttödata.</t>
        </is>
      </c>
    </row>
    <row r="33" ht="78" customHeight="1">
      <c r="A33" s="2" t="inlineStr">
        <is>
          <t>Julkinen aineisto ei vahvista nykyistä maakohtaista omistusta, vuosimaksuja ja rasitteettomuutta koko perheessä.</t>
        </is>
      </c>
      <c r="B33" s="2" t="inlineStr">
        <is>
          <t>IP-status</t>
        </is>
      </c>
      <c r="C33" s="2" t="inlineStr">
        <is>
          <t>Perhejulkaisut eivät yksin osoita kansallista post-grant-tilaa.</t>
        </is>
      </c>
      <c r="D33" s="2" t="inlineStr">
        <is>
          <t>https://register.epo.org/application?number=EP14836345&amp;lng=en&amp;tab=family ; https://register.epo.org/application?number=EP14836345&amp;lng=en&amp;tab=legal ; https://www.epo.org/en/applying/european/validation</t>
        </is>
      </c>
      <c r="E33" s="2" t="inlineStr">
        <is>
          <t>2026-07-24</t>
        </is>
      </c>
      <c r="F33" s="2" t="inlineStr">
        <is>
          <t>Diligence-rajaus.</t>
        </is>
      </c>
      <c r="G33" s="2" t="inlineStr">
        <is>
          <t>Neljä kansallista rekisterijurisdiktiota ei kata koko perhettä.</t>
        </is>
      </c>
      <c r="H33" s="6" t="inlineStr">
        <is>
          <t>Puuttuu</t>
        </is>
      </c>
      <c r="I33" s="2" t="inlineStr">
        <is>
          <t>Laadi asiamiehen allekirjoittama maamatriisi ja liitä tuoreet rekisteriotteet sekä maksukuitit.</t>
        </is>
      </c>
    </row>
    <row r="34" ht="78" customHeight="1">
      <c r="A34" s="2" t="inlineStr">
        <is>
          <t>Julkinen aineisto ei sisällä maakohtaisia tuote–vaatimusvertailuja.</t>
        </is>
      </c>
      <c r="B34" s="2" t="inlineStr">
        <is>
          <t>Tekninen erottautuminen</t>
        </is>
      </c>
      <c r="C34" s="2" t="inlineStr">
        <is>
          <t>Patenttihistorian guardrail edellyttää counsel-reviewed claim chartia.</t>
        </is>
      </c>
      <c r="D34" s="2" t="inlineStr">
        <is>
          <t>https://data.epo.org/publication-server/rest/v1.2/patents/EP3032975NWB2/document.pdf ; https://www.gesetze-bayern.de/Content/Document/Y-300-Z-BECKRS-B-2026-N-14206</t>
        </is>
      </c>
      <c r="E34" s="2" t="inlineStr">
        <is>
          <t>2026-07-24</t>
        </is>
      </c>
      <c r="F34" s="2" t="inlineStr">
        <is>
          <t>Vaatimuspiirteiden tuotekohtainen kartoitus puuttuu.</t>
        </is>
      </c>
      <c r="G34" s="2" t="inlineStr">
        <is>
          <t>Samankaltaisuus ei ole loukkaus.</t>
        </is>
      </c>
      <c r="H34" s="6" t="inlineStr">
        <is>
          <t>Puuttuu</t>
        </is>
      </c>
      <c r="I34" s="2" t="inlineStr">
        <is>
          <t>Hanki tuotteet, säilytä hallussapitoketju, tee teardown ja asiamiehen tarkastama claim chart.</t>
        </is>
      </c>
    </row>
    <row r="35" ht="78" customHeight="1">
      <c r="A35" s="2" t="inlineStr">
        <is>
          <t>Markkinan kokonaisarvo ei ole automaattisesti rojaltipohja.</t>
        </is>
      </c>
      <c r="B35" s="2" t="inlineStr">
        <is>
          <t>Taloudellinen malli</t>
        </is>
      </c>
      <c r="C35" s="2" t="inlineStr">
        <is>
          <t>Patenttihistorian kaupallistamisrajaus erottaa markkinan, kohdistettavan myynnin ja kassavirran.</t>
        </is>
      </c>
      <c r="D35" s="2" t="inlineStr">
        <is>
          <t>https://www.wipo.int/en/web/business/ip-valuation</t>
        </is>
      </c>
      <c r="E35" s="2" t="inlineStr">
        <is>
          <t>2026-07-24</t>
        </is>
      </c>
      <c r="F35" s="2" t="inlineStr">
        <is>
          <t>Arvonmäärityksen perusrajaus.</t>
        </is>
      </c>
      <c r="G35" s="2" t="inlineStr">
        <is>
          <t>Rojaltipohja vaatii patentin maantieteellisen, ajallisen ja tuotekohtaisen osuvuuden.</t>
        </is>
      </c>
      <c r="H35" s="3" t="inlineStr">
        <is>
          <t>Vahvistettu</t>
        </is>
      </c>
      <c r="I35" s="2" t="inlineStr">
        <is>
          <t>Tarvitaan addressable/in-scope/claim-mapped sales -silta.</t>
        </is>
      </c>
    </row>
    <row r="36" ht="78" customHeight="1">
      <c r="A36" s="2" t="inlineStr">
        <is>
          <t>Patenttiarvo, yritysarvo, osakearvo ja vakuusarvo ovat eri mittareita.</t>
        </is>
      </c>
      <c r="B36" s="2" t="inlineStr">
        <is>
          <t>Rahoitusteesi</t>
        </is>
      </c>
      <c r="C36" s="2" t="inlineStr">
        <is>
          <t>WIPO:n IP-arvonmääritys- ja rahoituskehys sekä aineiston oma guardrail.</t>
        </is>
      </c>
      <c r="D36" s="2" t="inlineStr">
        <is>
          <t>https://www.wipo.int/en/web/business/ip-valuation ; https://www.wipo.int/en/web/ip-financing</t>
        </is>
      </c>
      <c r="E36" s="2" t="inlineStr">
        <is>
          <t>2026-07-24</t>
        </is>
      </c>
      <c r="F36" s="2" t="inlineStr">
        <is>
          <t>Arvokäsitteiden erottelu.</t>
        </is>
      </c>
      <c r="G36" s="2" t="inlineStr">
        <is>
          <t>Ei oletuksia.</t>
        </is>
      </c>
      <c r="H36" s="3" t="inlineStr">
        <is>
          <t>Vahvistettu</t>
        </is>
      </c>
      <c r="I36" s="2" t="inlineStr">
        <is>
          <t>Rahoitusrakenne ja vakuusarvo vaativat erillisen oikeudellisen ja taloudellisen analyysin.</t>
        </is>
      </c>
    </row>
    <row r="37" ht="78" customHeight="1">
      <c r="A37" s="2" t="inlineStr">
        <is>
          <t>Asiantuntijavetoinen rajattu lisensointi- tai sovintopilotti on mahdollinen kaupallistamishypoteesi.</t>
        </is>
      </c>
      <c r="B37" s="2" t="inlineStr">
        <is>
          <t>Kaupallistamismalli</t>
        </is>
      </c>
      <c r="C37" s="2" t="inlineStr">
        <is>
          <t>Patenttihistorian vaiheistus suosittelee kovia portteja, claim chartia ja auditoitavaa yhteydenottoa.</t>
        </is>
      </c>
      <c r="D37" s="2" t="inlineStr">
        <is>
          <t>https://www.wipo.int/ja/web/business/assignment-licensing ; https://www.wipo.int/en/web/business/settle-ip-disputes ; https://www.epo.org/en/searching-for-patents/business/ipscore</t>
        </is>
      </c>
      <c r="E37" s="2" t="inlineStr">
        <is>
          <t>2026-07-24</t>
        </is>
      </c>
      <c r="F37" s="2" t="inlineStr">
        <is>
          <t>Hypoteesi, ei toteutunut kaupallinen näyttö.</t>
        </is>
      </c>
      <c r="G37" s="2" t="inlineStr">
        <is>
          <t>Kohdemaat ja vastapuolet valitaan vasta oikeus- ja evidenssiporttien jälkeen.</t>
        </is>
      </c>
      <c r="H37" s="5" t="inlineStr">
        <is>
          <t>Oletus</t>
        </is>
      </c>
      <c r="I37" s="2" t="inlineStr">
        <is>
          <t>Hyväksytä pilottimalli johdolla ja patenttiasiantuntijalla; dokumentoi kustannus, vasteet ja termit.</t>
        </is>
      </c>
    </row>
    <row r="38" ht="78" customHeight="1">
      <c r="A38" s="2" t="inlineStr">
        <is>
          <t>Patenttivakuudellinen rahoitus on arvioitava vain vahvistettujen oikeuksien ja kassavirtojen pohjalta.</t>
        </is>
      </c>
      <c r="B38" s="2" t="inlineStr">
        <is>
          <t>Rahoitusteesi</t>
        </is>
      </c>
      <c r="C38" s="2" t="inlineStr">
        <is>
          <t>WIPO IP Finance ja patenttihistorian vaihe 5.</t>
        </is>
      </c>
      <c r="D38" s="2" t="inlineStr">
        <is>
          <t>https://www.wipo.int/en/web/ip-financing ; https://www.wipo.int/en/web/business/ip-valuation</t>
        </is>
      </c>
      <c r="E38" s="2" t="inlineStr">
        <is>
          <t>2026-07-24</t>
        </is>
      </c>
      <c r="F38" s="2" t="inlineStr">
        <is>
          <t>Rahoitusperiaate.</t>
        </is>
      </c>
      <c r="G38" s="2" t="inlineStr">
        <is>
          <t>Ei näyttöä olemassa olevasta vakuusarvosta.</t>
        </is>
      </c>
      <c r="H38" s="4" t="inlineStr">
        <is>
          <t>Tuettu</t>
        </is>
      </c>
      <c r="I38" s="2" t="inlineStr">
        <is>
          <t>Tarvitaan riippumaton arvonmääritys, oikeuksien due diligence, toteutuneet tai sopimuspohjaiset kassavirrat ja downside-analyysi.</t>
        </is>
      </c>
    </row>
    <row r="39" ht="78" customHeight="1">
      <c r="A39" s="2" t="inlineStr">
        <is>
          <t>Australian oikeuden seuraava uusiminen on vahvistettava välittömästi.</t>
        </is>
      </c>
      <c r="B39" s="2" t="inlineStr">
        <is>
          <t>Riskit</t>
        </is>
      </c>
      <c r="C39" s="2" t="inlineStr">
        <is>
          <t>IP Australian API näyttää GRANTED-tilan, viimeisen uusimismaksun 18.7.2025 ja in-force date -päivän 14.8.2026.</t>
        </is>
      </c>
      <c r="D39" s="2" t="inlineStr">
        <is>
          <t>https://production.api.ipaustralia.gov.au/public/ipright-search-api/v1/patents/2014307829</t>
        </is>
      </c>
      <c r="E39" s="2" t="inlineStr">
        <is>
          <t>2026-08-14</t>
        </is>
      </c>
      <c r="F39" s="2" t="inlineStr">
        <is>
          <t>Virallisen API-tiedon diligence-hälytys.</t>
        </is>
      </c>
      <c r="G39" s="2" t="inlineStr">
        <is>
          <t>API:n in-force-through-päivä ei ole tässä lakisääteinen eräpäiväväite.</t>
        </is>
      </c>
      <c r="H39" s="3" t="inlineStr">
        <is>
          <t>Vahvistettu</t>
        </is>
      </c>
      <c r="I39" s="2" t="inlineStr">
        <is>
          <t>Patenttihallinto ja Australian asiamies: vahvistakaa lakisääteinen maksupäivä, summa, maksuvaltuus ja suoritettu maksu; arkistoikaa kuitti ja tuore rekisteriote.</t>
        </is>
      </c>
    </row>
    <row r="40" ht="78" customHeight="1">
      <c r="A40" s="2" t="inlineStr">
        <is>
          <t>Suomen 14. vuosimaksun eräpäiväksi on rekisteröity 31.8.2026.</t>
        </is>
      </c>
      <c r="B40" s="2" t="inlineStr">
        <is>
          <t>Riskit</t>
        </is>
      </c>
      <c r="C40" s="2" t="inlineStr">
        <is>
          <t>PRH kirjaa 14. vuoden 670 euron maksun eräpäiväksi 31.8.2026 ja myöhäisen maksukauden päättymispäiväksi 28.2.2027.</t>
        </is>
      </c>
      <c r="D40" s="2" t="inlineStr">
        <is>
          <t>https://patenttitietopalvelu.prh.fi/en/patent/20135829</t>
        </is>
      </c>
      <c r="E40" s="2" t="inlineStr">
        <is>
          <t>2026-08-31</t>
        </is>
      </c>
      <c r="F40" s="2" t="inlineStr">
        <is>
          <t>PRH:n rekisterihavainto.</t>
        </is>
      </c>
      <c r="G40" s="2" t="inlineStr">
        <is>
          <t>Tavoite on maksaa normaalina eräpäivänä.</t>
        </is>
      </c>
      <c r="H40" s="3" t="inlineStr">
        <is>
          <t>Vahvistettu</t>
        </is>
      </c>
      <c r="I40" s="2" t="inlineStr">
        <is>
          <t>Patenttihallinto: maksakaa ennen normaalia eräpäivää ja säilyttäkää maksukuitti sekä päivitetty PRH-ote.</t>
        </is>
      </c>
    </row>
    <row r="41" ht="78" customHeight="1">
      <c r="A41" s="2" t="inlineStr">
        <is>
          <t>Yhdysvaltain 7,5 vuoden ylläpitomaksun tila on vahvistettava.</t>
        </is>
      </c>
      <c r="B41" s="2" t="inlineStr">
        <is>
          <t>Riskit</t>
        </is>
      </c>
      <c r="C41" s="2" t="inlineStr">
        <is>
          <t>USPTO:n ylläpitomaksureitti näyttää normaalimaksuikkunan päättyvän 4.12.2026; maksutilaa ei vahvistettu riippumattomasti tässä julkaisussa.</t>
        </is>
      </c>
      <c r="D41" s="2" t="inlineStr">
        <is>
          <t>https://fees.uspto.gov/MaintenanceFees/fees/details?patentNumber=10306923 ; https://patentcenter.uspto.gov/applications/14911851 ; https://assignment.uspto.gov/patent/index.html#/patent/search/resultFilter?searchInput=10306923</t>
        </is>
      </c>
      <c r="E41" s="2" t="inlineStr">
        <is>
          <t>2026-12-04</t>
        </is>
      </c>
      <c r="F41" s="2" t="inlineStr">
        <is>
          <t>Virallisen maksuikkunan tarkistus.</t>
        </is>
      </c>
      <c r="G41" s="2" t="inlineStr">
        <is>
          <t>Julkaisu ei väitä, että maksu on tai ei ole suoritettu.</t>
        </is>
      </c>
      <c r="H41" s="3" t="inlineStr">
        <is>
          <t>Vahvistettu</t>
        </is>
      </c>
      <c r="I41" s="2" t="inlineStr">
        <is>
          <t>Yhdysvaltain patenttiasiamies: vahvistakaa entity status, summa ja maksu sekä arkistoikaa virallinen kuitti ja tuoreet ylläpito- ja siirtotiedot.</t>
        </is>
      </c>
    </row>
    <row r="42" ht="78" customHeight="1">
      <c r="A42" s="2" t="inlineStr">
        <is>
          <t>Julkinen aineisto ei sisällä auditoituja historiallisia tilinpäätöksiä tai kassavirtaennustetta.</t>
        </is>
      </c>
      <c r="B42" s="2" t="inlineStr">
        <is>
          <t>Taloudellinen malli</t>
        </is>
      </c>
      <c r="C42" s="2" t="inlineStr">
        <is>
          <t>Markkina- ja patenttiaineisto ei ole yhtiön talousaineisto.</t>
        </is>
      </c>
      <c r="D42" s="2" t="inlineStr">
        <is>
          <t>Julkisen paketin rajaus</t>
        </is>
      </c>
      <c r="E42" s="2" t="inlineStr">
        <is>
          <t>2026-07-24</t>
        </is>
      </c>
      <c r="F42" s="2" t="inlineStr">
        <is>
          <t>Aineiston puute.</t>
        </is>
      </c>
      <c r="G42" s="2" t="inlineStr">
        <is>
          <t>Yhtiön taloudellisesta tilanteesta ei tehdä päätelmää.</t>
        </is>
      </c>
      <c r="H42" s="6" t="inlineStr">
        <is>
          <t>Puuttuu</t>
        </is>
      </c>
      <c r="I42" s="2" t="inlineStr">
        <is>
          <t>Lisää 3–5 vuoden tilinpäätökset, tuore pääkirja, budjetti, kassavirta, velat ja verovelkatodistus.</t>
        </is>
      </c>
    </row>
    <row r="43" ht="78" customHeight="1">
      <c r="A43" s="2" t="inlineStr">
        <is>
          <t>Julkinen aineisto ei yksilöi rahoitustarvetta, käyttötarkoitusta tai takaisinmaksulähdettä.</t>
        </is>
      </c>
      <c r="B43" s="2" t="inlineStr">
        <is>
          <t>Rahoitusteesi</t>
        </is>
      </c>
      <c r="C43" s="2" t="inlineStr">
        <is>
          <t>Rahoitusparametreja ei ole markkina- tai patenttidatassa.</t>
        </is>
      </c>
      <c r="D43" s="2" t="inlineStr">
        <is>
          <t>Julkisen paketin rajaus</t>
        </is>
      </c>
      <c r="E43" s="2" t="inlineStr">
        <is>
          <t>2026-07-24</t>
        </is>
      </c>
      <c r="F43" s="2" t="inlineStr">
        <is>
          <t>Aineiston puute.</t>
        </is>
      </c>
      <c r="G43" s="2" t="inlineStr">
        <is>
          <t>Ei oleteta lainamäärää, maturiteettia tai vakuusrakennetta.</t>
        </is>
      </c>
      <c r="H43" s="6" t="inlineStr">
        <is>
          <t>Puuttuu</t>
        </is>
      </c>
      <c r="I43" s="2" t="inlineStr">
        <is>
          <t>Määritä lainamäärä, käyttötarkoitus, maturiteetti, lyhennysprofiili, takaisinmaksu ja kovenantit.</t>
        </is>
      </c>
    </row>
    <row r="44" ht="78" customHeight="1">
      <c r="A44" s="2" t="inlineStr">
        <is>
          <t>Julkinen aineisto ei osoita osakekantaa, cap tablea tai osakkeiden rasitteita.</t>
        </is>
      </c>
      <c r="B44" s="2" t="inlineStr">
        <is>
          <t>Rahoitusteesi</t>
        </is>
      </c>
      <c r="C44" s="2" t="inlineStr">
        <is>
          <t>Julkinen paketti on rajattu markkina- ja patenttievidenssiin.</t>
        </is>
      </c>
      <c r="D44" s="2" t="inlineStr">
        <is>
          <t>Julkisen paketin rajaus</t>
        </is>
      </c>
      <c r="E44" s="2" t="inlineStr">
        <is>
          <t>2026-07-24</t>
        </is>
      </c>
      <c r="F44" s="2" t="inlineStr">
        <is>
          <t>Aineiston puute.</t>
        </is>
      </c>
      <c r="G44" s="2" t="inlineStr">
        <is>
          <t>Ei oleteta omistusosuuksia tai vakuuskelpoisuutta.</t>
        </is>
      </c>
      <c r="H44" s="6" t="inlineStr">
        <is>
          <t>Puuttuu</t>
        </is>
      </c>
      <c r="I44" s="2" t="inlineStr">
        <is>
          <t>Toimita varmennettu osakasluettelo, yhtiöjärjestys, päätökset, panttaus- ja rasiteselvitys suljettuun datahuoneeseen.</t>
        </is>
      </c>
    </row>
    <row r="45" ht="78" customHeight="1">
      <c r="A45" s="2" t="inlineStr">
        <is>
          <t>Julkinen aineisto ei sisällä vertailukelpoista kilpailija- ja vaihtoehtoanalyysiä.</t>
        </is>
      </c>
      <c r="B45" s="2" t="inlineStr">
        <is>
          <t>Kilpailu</t>
        </is>
      </c>
      <c r="C45" s="2" t="inlineStr">
        <is>
          <t>Patenttiselitys ja oikeustapaukset eivät yksin muodosta markkinakilpailukarttaa.</t>
        </is>
      </c>
      <c r="D45" s="2" t="inlineStr">
        <is>
          <t>site/data/patent-history.json</t>
        </is>
      </c>
      <c r="E45" s="2" t="inlineStr">
        <is>
          <t>2026-07-24</t>
        </is>
      </c>
      <c r="F45" s="2" t="inlineStr">
        <is>
          <t>Aineiston puute.</t>
        </is>
      </c>
      <c r="G45" s="2" t="inlineStr">
        <is>
          <t>Kilpailu on erotettava patenttien päällekkäisyydestä ja ei-patentoiduista vaihtoehdoista.</t>
        </is>
      </c>
      <c r="H45" s="6" t="inlineStr">
        <is>
          <t>Puuttuu</t>
        </is>
      </c>
      <c r="I45" s="2" t="inlineStr">
        <is>
          <t>Laadi tuotteet, valmistajat, vaihtoehtoiset teknologiat, patenttiperheet, hinnat ja claim-map-status kattava vertailu.</t>
        </is>
      </c>
    </row>
    <row r="46" ht="78" customHeight="1">
      <c r="A46" s="2" t="inlineStr">
        <is>
          <t>Asiakassegmentit voidaan alustavasti jäsentää valmistajiin, teknologiatoimittajiin ja IP-rahoittajiin.</t>
        </is>
      </c>
      <c r="B46" s="2" t="inlineStr">
        <is>
          <t>Asiakkaat</t>
        </is>
      </c>
      <c r="C46" s="2" t="inlineStr">
        <is>
          <t>Patenttihistorian kaupallistamisreitit sisältävät lisensoinnin, luovutuksen ja IP-rahoituksen.</t>
        </is>
      </c>
      <c r="D46" s="2" t="inlineStr">
        <is>
          <t>https://www.wipo.int/ja/web/business/assignment-licensing ; https://www.wipo.int/en/web/ip-financing</t>
        </is>
      </c>
      <c r="E46" s="2" t="inlineStr">
        <is>
          <t>2026-07-24</t>
        </is>
      </c>
      <c r="F46" s="2" t="inlineStr">
        <is>
          <t>Segmentointihypoteesi kaupallistamisreiteistä.</t>
        </is>
      </c>
      <c r="G46" s="2" t="inlineStr">
        <is>
          <t>Ei todennettua ostoaikomusta tai asiakaskantaa.</t>
        </is>
      </c>
      <c r="H46" s="5" t="inlineStr">
        <is>
          <t>Oletus</t>
        </is>
      </c>
      <c r="I46" s="2" t="inlineStr">
        <is>
          <t>Validoi 10–15 strukturoitua ostaja- ja rahoittajahaastattelua sekä dokumentoi päätöskriteerit.</t>
        </is>
      </c>
    </row>
    <row r="47" ht="78" customHeight="1">
      <c r="A47" s="2" t="inlineStr">
        <is>
          <t>Saksan ratkaisut voivat toimia evidenssiankkurina, mutta eivät maailmanlaajuisena loukkausratkaisuna.</t>
        </is>
      </c>
      <c r="B47" s="2" t="inlineStr">
        <is>
          <t>Rahoitusteesi</t>
        </is>
      </c>
      <c r="C47" s="2" t="inlineStr">
        <is>
          <t>Ratkaisut ovat kansallisia, tuote-, osapuoli- ja ajanjaksokohtaisia.</t>
        </is>
      </c>
      <c r="D47" s="2" t="inlineStr">
        <is>
          <t>https://www.rechtsprechung-im-internet.de/jportal/?quelle=jlink&amp;docid=JURE269032275&amp;psml=bsjrsprod.psml ; https://www.gesetze-bayern.de/Content/Document/Y-300-Z-BECKRS-B-2026-N-14206</t>
        </is>
      </c>
      <c r="E47" s="2" t="inlineStr">
        <is>
          <t>2026-07-24</t>
        </is>
      </c>
      <c r="F47" s="2" t="inlineStr">
        <is>
          <t>Oikeudellisen vaikutuksen alueellinen rajaus.</t>
        </is>
      </c>
      <c r="G47" s="2" t="inlineStr">
        <is>
          <t>Muiden maiden tulokset riippuvat paikallisista oikeuksista ja tuotteista.</t>
        </is>
      </c>
      <c r="H47" s="3" t="inlineStr">
        <is>
          <t>Vahvistettu</t>
        </is>
      </c>
      <c r="I47" s="2" t="inlineStr">
        <is>
          <t>Laadi maakohtaiset oikeus- ja claim chart -paketit ennen yhteydenottoja.</t>
        </is>
      </c>
    </row>
    <row r="48" ht="78" customHeight="1">
      <c r="A48" s="2" t="inlineStr">
        <is>
          <t>Aineiston A-luokan maita on viisi, mutta 158 maata on D-luokassa.</t>
        </is>
      </c>
      <c r="B48" s="2" t="inlineStr">
        <is>
          <t>Markkinan koko</t>
        </is>
      </c>
      <c r="C48" s="2" t="inlineStr">
        <is>
          <t>Luokat: A 5, B 13, C 19, D 158.</t>
        </is>
      </c>
      <c r="D48" s="2" t="inlineStr">
        <is>
          <t>site/data/atlas.json (summary.gradeCounts)</t>
        </is>
      </c>
      <c r="E48" s="2" t="inlineStr">
        <is>
          <t>2026-07-24</t>
        </is>
      </c>
      <c r="F48" s="2" t="inlineStr">
        <is>
          <t>Maakohtaisten evidenssiluokkien laskenta.</t>
        </is>
      </c>
      <c r="G48" s="2" t="inlineStr">
        <is>
          <t>Luokka mittaa evidenssikypsyyttä, ei markkinan houkuttelevuutta.</t>
        </is>
      </c>
      <c r="H48" s="3" t="inlineStr">
        <is>
          <t>Vahvistettu</t>
        </is>
      </c>
      <c r="I48" s="2" t="inlineStr">
        <is>
          <t>Priorisoi D-maiden tietopyynnöt talouskoon, patenttistatuksen ja sääntelyn mukaan.</t>
        </is>
      </c>
    </row>
    <row r="49" ht="78" customHeight="1">
      <c r="A49" s="2" t="inlineStr">
        <is>
          <t>Maailmanlaajuista atlasestimaattia ei ole hyväksytty julkaistavaksi.</t>
        </is>
      </c>
      <c r="B49" s="2" t="inlineStr">
        <is>
          <t>Markkinan koko</t>
        </is>
      </c>
      <c r="C49" s="2" t="inlineStr">
        <is>
          <t>Nolla hyväksyttyä luovuttajamarkkinaa alittaa kolmen luovuttajan minimikynnyksen. Julkaistuissa Uuden-Seelannin, EU:n, Kanadan ja Saksan ehdokastesteissä jokaisessa on vähintään yksi hylätty ehto.</t>
        </is>
      </c>
      <c r="D49" s="2" t="inlineStr">
        <is>
          <t>site/data/market-values.json (modelReadiness, donorProtocol ja donorCandidates)</t>
        </is>
      </c>
      <c r="E49" s="2" t="inlineStr">
        <is>
          <t>2026-07-24</t>
        </is>
      </c>
      <c r="F49" s="2" t="inlineStr">
        <is>
          <t>Hard gate: jokaisen luovuttajan on läpäistävä D1–D10, ja lisäksi tarvitaan vähintään kolme yhteensopivaa luovuttajaa sekä alueellinen validointi.</t>
        </is>
      </c>
      <c r="G49" s="2" t="inlineStr">
        <is>
          <t>Viralliset alarajat ja ulkoiset vertailuarvot ovat hyödyllisiä ristiintarkistuksia mutta niitä ei lasketa hyväksytyiksi luovuttajiksi.</t>
        </is>
      </c>
      <c r="H49" s="3" t="inlineStr">
        <is>
          <t>Vahvistettu</t>
        </is>
      </c>
      <c r="I49" s="2" t="inlineStr">
        <is>
          <t>Älä esitä yhtä maailmanlukua ennen metodin porttien täyttymistä.</t>
        </is>
      </c>
    </row>
    <row r="50" ht="78" customHeight="1">
      <c r="A50" s="2" t="inlineStr">
        <is>
          <t>Korkean luottamuksen rahoituspaketti vaatii suljetun datahuoneen julkisen paketin rinnalle.</t>
        </is>
      </c>
      <c r="B50" s="2" t="inlineStr">
        <is>
          <t>Seuraavat vaiheet</t>
        </is>
      </c>
      <c r="C50" s="2" t="inlineStr">
        <is>
          <t>Julkinen paketti osoittaa lähteet ja puutteet mutta ei sisällä luottamuksellista talous-, sopimus- tai omistusaineistoa.</t>
        </is>
      </c>
      <c r="D50" s="2" t="inlineStr">
        <is>
          <t>Julkisen paketin rajaus</t>
        </is>
      </c>
      <c r="E50" s="2" t="inlineStr">
        <is>
          <t>2026-07-24</t>
        </is>
      </c>
      <c r="F50" s="2" t="inlineStr">
        <is>
          <t>Diligence-arkkitehtuurin suositus.</t>
        </is>
      </c>
      <c r="G50" s="2" t="inlineStr">
        <is>
          <t>Pääsy rajataan ja lokitetaan.</t>
        </is>
      </c>
      <c r="H50" s="4" t="inlineStr">
        <is>
          <t>Tuettu</t>
        </is>
      </c>
      <c r="I50" s="2" t="inlineStr">
        <is>
          <t>Perusta indeksoitu datahuone: Corporate, IP, Legal, Commercial, Finance, Valuation, Security.</t>
        </is>
      </c>
    </row>
  </sheetData>
  <autoFilter ref="A1:I50"/>
  <dataValidations count="1">
    <dataValidation sqref="H2:H50" showDropDown="0" showInputMessage="0" showErrorMessage="0" allowBlank="0" type="list">
      <formula1>"Vahvistettu,Tuettu,Oletus,Puuttuu"</formula1>
    </dataValidation>
  </dataValidations>
  <pageMargins left="0.2" right="0.2" top="0.35" bottom="0.35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32" customHeight="1">
      <c r="A1" s="7" t="inlineStr">
        <is>
          <t>Pixan · julkisen evidenssipaketin yhteenveto</t>
        </is>
      </c>
    </row>
    <row r="2" ht="32" customHeight="1"/>
    <row r="3" ht="23" customHeight="1"/>
    <row r="4" ht="23" customHeight="1">
      <c r="A4" s="8" t="inlineStr">
        <is>
          <t>Versio</t>
        </is>
      </c>
      <c r="B4" s="9" t="inlineStr">
        <is>
          <t>2026.07.24-17</t>
        </is>
      </c>
    </row>
    <row r="5" ht="23" customHeight="1">
      <c r="A5" s="8" t="inlineStr">
        <is>
          <t>Päivitetty</t>
        </is>
      </c>
      <c r="B5" s="9" t="inlineStr">
        <is>
          <t>2026-07-24</t>
        </is>
      </c>
    </row>
    <row r="6" ht="23" customHeight="1">
      <c r="A6" s="8" t="inlineStr">
        <is>
          <t>Rajaus</t>
        </is>
      </c>
      <c r="B6" s="9" t="inlineStr">
        <is>
          <t>Julkinen riippumaton kooste; ei Pixan Oy:n virallinen kanta eikä arvo-, laina-, sijoitus- tai oikeudellinen lausunto.</t>
        </is>
      </c>
    </row>
    <row r="7" ht="23" customHeight="1">
      <c r="A7" s="8" t="inlineStr">
        <is>
          <t>Rivit</t>
        </is>
      </c>
      <c r="B7" s="9" t="n">
        <v>49</v>
      </c>
    </row>
    <row r="8" ht="23" customHeight="1"/>
    <row r="9" ht="23" customHeight="1"/>
    <row r="10" ht="23" customHeight="1">
      <c r="A10" s="10" t="inlineStr">
        <is>
          <t>Näytön jakauma</t>
        </is>
      </c>
    </row>
    <row r="11" ht="23" customHeight="1">
      <c r="A11" s="11" t="inlineStr">
        <is>
          <t>Vahvistettu</t>
        </is>
      </c>
      <c r="B11" s="12" t="n">
        <v>28</v>
      </c>
    </row>
    <row r="12" ht="23" customHeight="1">
      <c r="A12" s="13" t="inlineStr">
        <is>
          <t>Tuettu</t>
        </is>
      </c>
      <c r="B12" s="12" t="n">
        <v>8</v>
      </c>
    </row>
    <row r="13" ht="23" customHeight="1">
      <c r="A13" s="14" t="inlineStr">
        <is>
          <t>Oletus</t>
        </is>
      </c>
      <c r="B13" s="12" t="n">
        <v>3</v>
      </c>
    </row>
    <row r="14" ht="23" customHeight="1">
      <c r="A14" s="15" t="inlineStr">
        <is>
          <t>Puuttuu</t>
        </is>
      </c>
      <c r="B14" s="12" t="n">
        <v>10</v>
      </c>
    </row>
    <row r="15" ht="23" customHeight="1"/>
    <row r="16" ht="23" customHeight="1"/>
    <row r="17" ht="23" customHeight="1">
      <c r="A17" s="10" t="inlineStr">
        <is>
          <t>Kolme vahvinta rahoitusperustetta</t>
        </is>
      </c>
    </row>
    <row r="18" ht="23" customHeight="1">
      <c r="A18" t="n">
        <v>1</v>
      </c>
      <c r="B18" t="inlineStr">
        <is>
          <t>EPO pysytti patentin muutettuna ja B2-julkaisu on virallisesti jäljitettävissä.</t>
        </is>
      </c>
    </row>
    <row r="19" ht="23" customHeight="1">
      <c r="A19" t="n">
        <v>2</v>
      </c>
      <c r="B19" t="inlineStr">
        <is>
          <t>Saksasta on viralliset mitätöinti- ja loukkausratkaisut tarkoin näkyvin rajauksin.</t>
        </is>
      </c>
    </row>
    <row r="20" ht="23" customHeight="1">
      <c r="A20" t="n">
        <v>3</v>
      </c>
      <c r="B20" t="inlineStr">
        <is>
          <t>Julkinen markkina-aineisto erottaa viralliset havainnot, proxyt, mallit ja puutteet toisistaan.</t>
        </is>
      </c>
    </row>
    <row r="21" ht="23" customHeight="1"/>
    <row r="22" ht="23" customHeight="1"/>
    <row r="23" ht="23" customHeight="1">
      <c r="A23" s="10" t="inlineStr">
        <is>
          <t>Pankkikelpoisuuden neljä korjausta</t>
        </is>
      </c>
    </row>
    <row r="24" ht="23" customHeight="1">
      <c r="A24" t="n">
        <v>1</v>
      </c>
      <c r="B24" t="inlineStr">
        <is>
          <t>Asiamiehen allekirjoittama oikeus-, omistus-, rasite- ja maksumatriisi.</t>
        </is>
      </c>
    </row>
    <row r="25" ht="23" customHeight="1">
      <c r="A25" t="n">
        <v>2</v>
      </c>
      <c r="B25" t="inlineStr">
        <is>
          <t>Priorisoitujen tuotteiden riippumattomat testit ja claim chartit.</t>
        </is>
      </c>
    </row>
    <row r="26" ht="23" customHeight="1">
      <c r="A26" t="n">
        <v>3</v>
      </c>
      <c r="B26" t="inlineStr">
        <is>
          <t>Toteutunut tai sopimuspohjainen kassavirta sekä auditoidut taloustiedot.</t>
        </is>
      </c>
    </row>
    <row r="27" ht="23" customHeight="1">
      <c r="A27" t="n">
        <v>4</v>
      </c>
      <c r="B27" t="inlineStr">
        <is>
          <t>Riippumaton arvonmääritys ja downside-vakuusanalyysi.</t>
        </is>
      </c>
    </row>
    <row r="28" ht="23" customHeight="1"/>
    <row r="29" ht="23" customHeight="1"/>
  </sheetData>
  <mergeCells count="1">
    <mergeCell ref="A1:H2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50" customWidth="1" min="3" max="3"/>
    <col width="28" customWidth="1" min="4" max="4"/>
  </cols>
  <sheetData>
    <row r="1">
      <c r="A1" s="16" t="inlineStr">
        <is>
          <t>Prioriteetti</t>
        </is>
      </c>
      <c r="B1" s="16" t="inlineStr">
        <is>
          <t>Todennäköinen kysymys</t>
        </is>
      </c>
      <c r="C1" s="16" t="inlineStr">
        <is>
          <t>Vaadittu näyttö</t>
        </is>
      </c>
      <c r="D1" s="16" t="inlineStr">
        <is>
          <t>Nykytila</t>
        </is>
      </c>
    </row>
    <row r="2" ht="52" customHeight="1">
      <c r="A2" s="17" t="n">
        <v>1</v>
      </c>
      <c r="B2" s="17" t="inlineStr">
        <is>
          <t>Mitä tarkalleen omistetaan ja missä oikeus on voimassa?</t>
        </is>
      </c>
      <c r="C2" s="17" t="inlineStr">
        <is>
          <t>Maakohtainen oikeusmatriisi</t>
        </is>
      </c>
      <c r="D2" s="17" t="inlineStr">
        <is>
          <t>Puuttuu kattavasti</t>
        </is>
      </c>
    </row>
    <row r="3" ht="52" customHeight="1">
      <c r="A3" s="17" t="n">
        <v>2</v>
      </c>
      <c r="B3" s="17" t="inlineStr">
        <is>
          <t>Mikä tuote täyttää mitkä vaatimuspiirteet?</t>
        </is>
      </c>
      <c r="C3" s="17" t="inlineStr">
        <is>
          <t>Riippumaton testi ja claim chart</t>
        </is>
      </c>
      <c r="D3" s="17" t="inlineStr">
        <is>
          <t>Rajattu Saksan näyttö</t>
        </is>
      </c>
    </row>
    <row r="4" ht="52" customHeight="1">
      <c r="A4" s="17" t="n">
        <v>3</v>
      </c>
      <c r="B4" s="17" t="inlineStr">
        <is>
          <t>Mikä on todennettu relevantti myynti?</t>
        </is>
      </c>
      <c r="C4" s="17" t="inlineStr">
        <is>
          <t>Tuote–maa–aika-net sales</t>
        </is>
      </c>
      <c r="D4" s="17" t="inlineStr">
        <is>
          <t>Puuttuu</t>
        </is>
      </c>
    </row>
    <row r="5" ht="52" customHeight="1">
      <c r="A5" s="17" t="n">
        <v>4</v>
      </c>
      <c r="B5" s="17" t="inlineStr">
        <is>
          <t>Mistä ja milloin velanhoitokassa syntyy?</t>
        </is>
      </c>
      <c r="C5" s="17" t="inlineStr">
        <is>
          <t>Sopimukset, maksut ja ennuste</t>
        </is>
      </c>
      <c r="D5" s="17" t="inlineStr">
        <is>
          <t>Puuttuu</t>
        </is>
      </c>
    </row>
    <row r="6" ht="52" customHeight="1">
      <c r="A6" s="17" t="n">
        <v>5</v>
      </c>
      <c r="B6" s="17" t="inlineStr">
        <is>
          <t>Mitä vakuus realisoi downside-tilanteessa?</t>
        </is>
      </c>
      <c r="C6" s="17" t="inlineStr">
        <is>
          <t>Riippumaton arvio ja toteutuspolku</t>
        </is>
      </c>
      <c r="D6" s="17" t="inlineStr">
        <is>
          <t>Puuttuu</t>
        </is>
      </c>
    </row>
  </sheetData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2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5" customWidth="1" min="3" max="3"/>
    <col width="80" customWidth="1" min="4" max="4"/>
    <col width="20" customWidth="1" min="5" max="5"/>
  </cols>
  <sheetData>
    <row r="1">
      <c r="A1" s="16" t="inlineStr">
        <is>
          <t>Lähdetunnus</t>
        </is>
      </c>
      <c r="B1" s="16" t="inlineStr">
        <is>
          <t>Julkaisija</t>
        </is>
      </c>
      <c r="C1" s="16" t="inlineStr">
        <is>
          <t>Lähdeluokka</t>
        </is>
      </c>
      <c r="D1" s="16" t="inlineStr">
        <is>
          <t>URL</t>
        </is>
      </c>
      <c r="E1" s="16" t="inlineStr">
        <is>
          <t>Haettu / data-as-of</t>
        </is>
      </c>
    </row>
    <row r="2">
      <c r="A2" s="18" t="inlineStr">
        <is>
          <t>CA-HC-VAPING-SALES-2024</t>
        </is>
      </c>
      <c r="B2" s="18" t="inlineStr">
        <is>
          <t>Health Canada</t>
        </is>
      </c>
      <c r="C2" s="18" t="inlineStr">
        <is>
          <t>official</t>
        </is>
      </c>
      <c r="D2" s="18" t="inlineStr">
        <is>
          <t>https://health-infobase.canada.ca/substance-use/vaping/sales/</t>
        </is>
      </c>
      <c r="E2" s="18" t="inlineStr">
        <is>
          <t>2026-07-22</t>
        </is>
      </c>
    </row>
    <row r="3">
      <c r="A3" s="18" t="inlineStr">
        <is>
          <t>CNIPA-PUBLIC-QUERY-GUIDANCE</t>
        </is>
      </c>
      <c r="B3" s="18" t="inlineStr">
        <is>
          <t>China National Intellectual Property Administration</t>
        </is>
      </c>
      <c r="C3" s="18" t="inlineStr">
        <is>
          <t>official_guidance</t>
        </is>
      </c>
      <c r="D3" s="18" t="inlineStr">
        <is>
          <t>https://www.cnipa.gov.cn/jact/front/mailpubdetail.do?sysid=16&amp;transactId=495563</t>
        </is>
      </c>
      <c r="E3" s="18" t="inlineStr">
        <is>
          <t>2026-07-22</t>
        </is>
      </c>
    </row>
    <row r="4">
      <c r="A4" s="18" t="inlineStr">
        <is>
          <t>CNIPA-REEXAMINATION-GUIDANCE</t>
        </is>
      </c>
      <c r="B4" s="18" t="inlineStr">
        <is>
          <t>China National Intellectual Property Administration</t>
        </is>
      </c>
      <c r="C4" s="18" t="inlineStr">
        <is>
          <t>official_guidance</t>
        </is>
      </c>
      <c r="D4" s="18" t="inlineStr">
        <is>
          <t>https://www.cnipa.gov.cn/art/2020/6/5/art_1517_92474.html</t>
        </is>
      </c>
      <c r="E4" s="18" t="inlineStr">
        <is>
          <t>2026-07-22</t>
        </is>
      </c>
    </row>
    <row r="5">
      <c r="A5" s="18" t="inlineStr">
        <is>
          <t>DE-BPATG-8NI18-24</t>
        </is>
      </c>
      <c r="B5" s="18" t="inlineStr">
        <is>
          <t>Bundespatentgericht / German federal legal-information service</t>
        </is>
      </c>
      <c r="C5" s="18" t="inlineStr">
        <is>
          <t>official_judgment</t>
        </is>
      </c>
      <c r="D5" s="18" t="inlineStr">
        <is>
          <t>https://www.rechtsprechung-im-internet.de/jportal/?quelle=jlink&amp;docid=JURE269032275&amp;psml=bsjrsprod.psml</t>
        </is>
      </c>
      <c r="E5" s="18" t="inlineStr">
        <is>
          <t>2026-07-22</t>
        </is>
      </c>
    </row>
    <row r="6">
      <c r="A6" s="18" t="inlineStr">
        <is>
          <t>DE-DESTATIS-73411-0003</t>
        </is>
      </c>
      <c r="B6" s="18" t="inlineStr">
        <is>
          <t>Statistisches Bundesamt (Destatis)</t>
        </is>
      </c>
      <c r="C6" s="18" t="inlineStr">
        <is>
          <t>official</t>
        </is>
      </c>
      <c r="D6" s="18" t="inlineStr">
        <is>
          <t>https://genesis.destatis.de/datenbank/online/statistic/73411/table/73411-0003</t>
        </is>
      </c>
      <c r="E6" s="18" t="inlineStr">
        <is>
          <t>2026-07-22</t>
        </is>
      </c>
    </row>
    <row r="7">
      <c r="A7" s="18" t="inlineStr">
        <is>
          <t>DE-LGMUC-7O3341-24</t>
        </is>
      </c>
      <c r="B7" s="18" t="inlineStr">
        <is>
          <t>Landgericht München I / Bavarian legal-information service</t>
        </is>
      </c>
      <c r="C7" s="18" t="inlineStr">
        <is>
          <t>official_judgment</t>
        </is>
      </c>
      <c r="D7" s="18" t="inlineStr">
        <is>
          <t>https://www.gesetze-bayern.de/Content/Document/Y-300-Z-BECKRS-B-2026-N-14206</t>
        </is>
      </c>
      <c r="E7" s="18" t="inlineStr">
        <is>
          <t>2026-07-22</t>
        </is>
      </c>
    </row>
    <row r="8">
      <c r="A8" s="18" t="inlineStr">
        <is>
          <t>EPO-B1-SPECIFICATION</t>
        </is>
      </c>
      <c r="B8" s="18" t="inlineStr">
        <is>
          <t>European Patent Office</t>
        </is>
      </c>
      <c r="C8" s="18" t="inlineStr">
        <is>
          <t>official_patent_publication</t>
        </is>
      </c>
      <c r="D8" s="18" t="inlineStr">
        <is>
          <t>https://data.epo.org/publication-server/rest/v1.2/patents/EP3032975NWB1/document.pdf</t>
        </is>
      </c>
      <c r="E8" s="18" t="inlineStr">
        <is>
          <t>2026-07-22</t>
        </is>
      </c>
    </row>
    <row r="9">
      <c r="A9" s="18" t="inlineStr">
        <is>
          <t>EPO-B2-SPECIFICATION</t>
        </is>
      </c>
      <c r="B9" s="18" t="inlineStr">
        <is>
          <t>European Patent Office</t>
        </is>
      </c>
      <c r="C9" s="18" t="inlineStr">
        <is>
          <t>official_patent_publication</t>
        </is>
      </c>
      <c r="D9" s="18" t="inlineStr">
        <is>
          <t>https://data.epo.org/publication-server/rest/v1.2/patents/EP3032975NWB2/document.pdf</t>
        </is>
      </c>
      <c r="E9" s="18" t="inlineStr">
        <is>
          <t>2026-07-22</t>
        </is>
      </c>
    </row>
    <row r="10">
      <c r="A10" s="18" t="inlineStr">
        <is>
          <t>EPO-IPSCORE</t>
        </is>
      </c>
      <c r="B10" s="18" t="inlineStr">
        <is>
          <t>European Patent Office</t>
        </is>
      </c>
      <c r="C10" s="18" t="inlineStr">
        <is>
          <t>official_guidance</t>
        </is>
      </c>
      <c r="D10" s="18" t="inlineStr">
        <is>
          <t>https://www.epo.org/en/searching-for-patents/business/ipscore</t>
        </is>
      </c>
      <c r="E10" s="18" t="inlineStr">
        <is>
          <t>2026-07-22</t>
        </is>
      </c>
    </row>
    <row r="11">
      <c r="A11" s="18" t="inlineStr">
        <is>
          <t>EPO-NATIONAL-VALIDATION</t>
        </is>
      </c>
      <c r="B11" s="18" t="inlineStr">
        <is>
          <t>European Patent Office</t>
        </is>
      </c>
      <c r="C11" s="18" t="inlineStr">
        <is>
          <t>official_guidance</t>
        </is>
      </c>
      <c r="D11" s="18" t="inlineStr">
        <is>
          <t>https://www.epo.org/en/applying/european/validation</t>
        </is>
      </c>
      <c r="E11" s="18" t="inlineStr">
        <is>
          <t>2026-07-22</t>
        </is>
      </c>
    </row>
    <row r="12">
      <c r="A12" s="18" t="inlineStr">
        <is>
          <t>EPO-REGISTER-DOCLIST</t>
        </is>
      </c>
      <c r="B12" s="18" t="inlineStr">
        <is>
          <t>European Patent Office</t>
        </is>
      </c>
      <c r="C12" s="18" t="inlineStr">
        <is>
          <t>official_register_documents</t>
        </is>
      </c>
      <c r="D12" s="18" t="inlineStr">
        <is>
          <t>https://register.epo.org/application?number=EP14836345&amp;lng=en&amp;tab=doclist</t>
        </is>
      </c>
      <c r="E12" s="18" t="inlineStr">
        <is>
          <t>2026-07-22</t>
        </is>
      </c>
    </row>
    <row r="13">
      <c r="A13" s="18" t="inlineStr">
        <is>
          <t>EPO-REGISTER-EVENT</t>
        </is>
      </c>
      <c r="B13" s="18" t="inlineStr">
        <is>
          <t>European Patent Office</t>
        </is>
      </c>
      <c r="C13" s="18" t="inlineStr">
        <is>
          <t>official_register</t>
        </is>
      </c>
      <c r="D13" s="18" t="inlineStr">
        <is>
          <t>https://register.epo.org/application?number=EP14836345&amp;lng=en&amp;tab=event</t>
        </is>
      </c>
      <c r="E13" s="18" t="inlineStr">
        <is>
          <t>2026-07-22</t>
        </is>
      </c>
    </row>
    <row r="14">
      <c r="A14" s="18" t="inlineStr">
        <is>
          <t>EPO-REGISTER-FAMILY</t>
        </is>
      </c>
      <c r="B14" s="18" t="inlineStr">
        <is>
          <t>European Patent Office</t>
        </is>
      </c>
      <c r="C14" s="18" t="inlineStr">
        <is>
          <t>official_family_register</t>
        </is>
      </c>
      <c r="D14" s="18" t="inlineStr">
        <is>
          <t>https://register.epo.org/application?number=EP14836345&amp;lng=en&amp;tab=family</t>
        </is>
      </c>
      <c r="E14" s="18" t="inlineStr">
        <is>
          <t>2026-07-22</t>
        </is>
      </c>
    </row>
    <row r="15">
      <c r="A15" s="18" t="inlineStr">
        <is>
          <t>EPO-REGISTER-LEGAL</t>
        </is>
      </c>
      <c r="B15" s="18" t="inlineStr">
        <is>
          <t>European Patent Office</t>
        </is>
      </c>
      <c r="C15" s="18" t="inlineStr">
        <is>
          <t>official_register_route</t>
        </is>
      </c>
      <c r="D15" s="18" t="inlineStr">
        <is>
          <t>https://register.epo.org/application?number=EP14836345&amp;lng=en&amp;tab=legal</t>
        </is>
      </c>
      <c r="E15" s="18" t="inlineStr">
        <is>
          <t>2026-07-22</t>
        </is>
      </c>
    </row>
    <row r="16">
      <c r="A16" s="18" t="inlineStr">
        <is>
          <t>EPO-REGISTER-MAIN</t>
        </is>
      </c>
      <c r="B16" s="18" t="inlineStr">
        <is>
          <t>European Patent Office</t>
        </is>
      </c>
      <c r="C16" s="18" t="inlineStr">
        <is>
          <t>official_register</t>
        </is>
      </c>
      <c r="D16" s="18" t="inlineStr">
        <is>
          <t>https://register.epo.org/application?number=EP14836345&amp;lng=en&amp;tab=main</t>
        </is>
      </c>
      <c r="E16" s="18" t="inlineStr">
        <is>
          <t>2026-07-22</t>
        </is>
      </c>
    </row>
    <row r="17">
      <c r="A17" s="18" t="inlineStr">
        <is>
          <t>EU-BRUSSELS-I-BIS</t>
        </is>
      </c>
      <c r="B17" s="18" t="inlineStr">
        <is>
          <t>European Union / EUR-Lex</t>
        </is>
      </c>
      <c r="C17" s="18" t="inlineStr">
        <is>
          <t>official_legislation</t>
        </is>
      </c>
      <c r="D17" s="18" t="inlineStr">
        <is>
          <t>https://eur-lex.europa.eu/legal-content/en/TXT/?uri=CELEX%3A32012R1215</t>
        </is>
      </c>
      <c r="E17" s="18" t="inlineStr">
        <is>
          <t>2026-07-22</t>
        </is>
      </c>
    </row>
    <row r="18">
      <c r="A18" s="18" t="inlineStr">
        <is>
          <t>EU-EC-SWD-2025-560</t>
        </is>
      </c>
      <c r="B18" s="18" t="inlineStr">
        <is>
          <t>European Commission</t>
        </is>
      </c>
      <c r="C18" s="18" t="inlineStr">
        <is>
          <t>official_secondary</t>
        </is>
      </c>
      <c r="D18" s="18" t="inlineStr">
        <is>
          <t>https://eur-lex.europa.eu/legal-content/EN/TXT/?uri=SWD%3A2025%3A0560%3AFIN</t>
        </is>
      </c>
      <c r="E18" s="18" t="inlineStr">
        <is>
          <t>2026-07-24</t>
        </is>
      </c>
    </row>
    <row r="19">
      <c r="A19" s="18" t="inlineStr">
        <is>
          <t>EU-EC-SWD-2026-111</t>
        </is>
      </c>
      <c r="B19" s="18" t="inlineStr">
        <is>
          <t>European Commission</t>
        </is>
      </c>
      <c r="C19" s="18" t="inlineStr">
        <is>
          <t>official_secondary</t>
        </is>
      </c>
      <c r="D19" s="18" t="inlineStr">
        <is>
          <t>https://eur-lex.europa.eu/legal-content/EN/TXT/?uri=SWD%3A2026%3A111%3AFIN</t>
        </is>
      </c>
      <c r="E19" s="18" t="inlineStr">
        <is>
          <t>2026-07-24</t>
        </is>
      </c>
    </row>
    <row r="20">
      <c r="A20" s="18" t="inlineStr">
        <is>
          <t>EU-TPLF-MAPPING</t>
        </is>
      </c>
      <c r="B20" s="18" t="inlineStr">
        <is>
          <t>European Commission</t>
        </is>
      </c>
      <c r="C20" s="18" t="inlineStr">
        <is>
          <t>official_policy_study</t>
        </is>
      </c>
      <c r="D20" s="18" t="inlineStr">
        <is>
          <t>https://commission.europa.eu/strategy-and-policy/policies/justice-and-fundamental-rights/civil-justice/civil-and-commercial-law/third-party-litigation-funding-tplf_en</t>
        </is>
      </c>
      <c r="E20" s="18" t="inlineStr">
        <is>
          <t>2026-07-22</t>
        </is>
      </c>
    </row>
    <row r="21">
      <c r="A21" s="18" t="inlineStr">
        <is>
          <t>FI-TAX-EXCISE-VVT-010-2025</t>
        </is>
      </c>
      <c r="B21" s="18" t="inlineStr">
        <is>
          <t>Finnish Tax Administration</t>
        </is>
      </c>
      <c r="C21" s="18" t="inlineStr">
        <is>
          <t>official</t>
        </is>
      </c>
      <c r="D21" s="18" t="inlineStr">
        <is>
          <t>https://vero2.stat.fi/PXWeb/api/v1/en/Vero/Valmistevero/vvt_010.px</t>
        </is>
      </c>
      <c r="E21" s="18" t="inlineStr">
        <is>
          <t>2026-07-22</t>
        </is>
      </c>
    </row>
    <row r="22">
      <c r="A22" s="18" t="inlineStr">
        <is>
          <t>FORTUNE-GLOBAL-2025</t>
        </is>
      </c>
      <c r="B22" s="18" t="inlineStr">
        <is>
          <t>Fortune Business Insights</t>
        </is>
      </c>
      <c r="C22" s="18" t="inlineStr">
        <is>
          <t>commercial_estimate</t>
        </is>
      </c>
      <c r="D22" s="18" t="inlineStr">
        <is>
          <t>https://www.fortunebusinessinsights.com/e-cigarette-and-vaping-market-114882</t>
        </is>
      </c>
      <c r="E22" s="18" t="inlineStr">
        <is>
          <t>2026-07-22</t>
        </is>
      </c>
    </row>
    <row r="23">
      <c r="A23" s="18" t="inlineStr">
        <is>
          <t>GVR-GLOBAL-2025</t>
        </is>
      </c>
      <c r="B23" s="18" t="inlineStr">
        <is>
          <t>Grand View Research</t>
        </is>
      </c>
      <c r="C23" s="18" t="inlineStr">
        <is>
          <t>commercial_estimate</t>
        </is>
      </c>
      <c r="D23" s="18" t="inlineStr">
        <is>
          <t>https://www.grandviewresearch.com/industry-analysis/e-cigarette-vaping-market</t>
        </is>
      </c>
      <c r="E23" s="18" t="inlineStr">
        <is>
          <t>2026-07-22</t>
        </is>
      </c>
    </row>
    <row r="24">
      <c r="A24" s="18" t="inlineStr">
        <is>
          <t>IMARC-GLOBAL-2025</t>
        </is>
      </c>
      <c r="B24" s="18" t="inlineStr">
        <is>
          <t>IMARC Group</t>
        </is>
      </c>
      <c r="C24" s="18" t="inlineStr">
        <is>
          <t>commercial_estimate</t>
        </is>
      </c>
      <c r="D24" s="18" t="inlineStr">
        <is>
          <t>https://www.imarcgroup.com/e-cigarette-market</t>
        </is>
      </c>
      <c r="E24" s="18" t="inlineStr">
        <is>
          <t>2026-07-22</t>
        </is>
      </c>
    </row>
    <row r="25">
      <c r="A25" s="18" t="inlineStr">
        <is>
          <t>INTASTE-GERMANFLAVOURS-2026</t>
        </is>
      </c>
      <c r="B25" s="18" t="inlineStr">
        <is>
          <t>inTaste.de</t>
        </is>
      </c>
      <c r="C25" s="18" t="inlineStr">
        <is>
          <t>retail_listing</t>
        </is>
      </c>
      <c r="D25" s="18" t="inlineStr">
        <is>
          <t>https://www.intaste.de/pfefferminz-liquid-germanflavours-liquid</t>
        </is>
      </c>
      <c r="E25" s="18" t="inlineStr">
        <is>
          <t>2026-07-22</t>
        </is>
      </c>
    </row>
    <row r="26">
      <c r="A26" s="18" t="inlineStr">
        <is>
          <t>INTASTE-REVOLTAGE-2026</t>
        </is>
      </c>
      <c r="B26" s="18" t="inlineStr">
        <is>
          <t>inTaste.de</t>
        </is>
      </c>
      <c r="C26" s="18" t="inlineStr">
        <is>
          <t>retail_listing</t>
        </is>
      </c>
      <c r="D26" s="18" t="inlineStr">
        <is>
          <t>https://www.intaste.de/tobacco-vanilla-nikotinsalz-revoltage-liquid</t>
        </is>
      </c>
      <c r="E26" s="18" t="inlineStr">
        <is>
          <t>2026-07-22</t>
        </is>
      </c>
    </row>
    <row r="27">
      <c r="A27" s="18" t="inlineStr">
        <is>
          <t>INTASTE-SAMURAI-2026</t>
        </is>
      </c>
      <c r="B27" s="18" t="inlineStr">
        <is>
          <t>inTaste.de</t>
        </is>
      </c>
      <c r="C27" s="18" t="inlineStr">
        <is>
          <t>retail_listing</t>
        </is>
      </c>
      <c r="D27" s="18" t="inlineStr">
        <is>
          <t>https://www.intaste.de/anstand-liquid-samurai-liquid</t>
        </is>
      </c>
      <c r="E27" s="18" t="inlineStr">
        <is>
          <t>2026-07-22</t>
        </is>
      </c>
    </row>
    <row r="28">
      <c r="A28" s="18" t="inlineStr">
        <is>
          <t>IPAU-PATENT-API</t>
        </is>
      </c>
      <c r="B28" s="18" t="inlineStr">
        <is>
          <t>IP Australia</t>
        </is>
      </c>
      <c r="C28" s="18" t="inlineStr">
        <is>
          <t>official_national_api</t>
        </is>
      </c>
      <c r="D28" s="18" t="inlineStr">
        <is>
          <t>https://production.api.ipaustralia.gov.au/public/ipright-search-api/v1/patents/2014307829</t>
        </is>
      </c>
      <c r="E28" s="18" t="inlineStr">
        <is>
          <t>2026-07-22</t>
        </is>
      </c>
    </row>
    <row r="29">
      <c r="A29" s="18" t="inlineStr">
        <is>
          <t>KIPRIS-REGISTER</t>
        </is>
      </c>
      <c r="B29" s="18" t="inlineStr">
        <is>
          <t>Korean Intellectual Property Office / KIPRIS</t>
        </is>
      </c>
      <c r="C29" s="18" t="inlineStr">
        <is>
          <t>official_national_register</t>
        </is>
      </c>
      <c r="D29" s="18" t="inlineStr">
        <is>
          <t>https://www.kipris.or.kr/khome/search/searchResult.do</t>
        </is>
      </c>
      <c r="E29" s="18" t="inlineStr">
        <is>
          <t>2026-07-22</t>
        </is>
      </c>
    </row>
    <row r="30">
      <c r="A30" s="18" t="inlineStr">
        <is>
          <t>NZ-MOH-ANNUAL-RETURNS-2022</t>
        </is>
      </c>
      <c r="B30" s="18" t="inlineStr">
        <is>
          <t>New Zealand Ministry of Health</t>
        </is>
      </c>
      <c r="C30" s="18" t="inlineStr">
        <is>
          <t>official</t>
        </is>
      </c>
      <c r="D30" s="18" t="inlineStr">
        <is>
          <t>https://www.health.govt.nz/regulation-legislation/vaping-herbal-smoking-and-smokeless-tobacco/requirements/complete-a-notifiable-product-annual-return/annual-returns-2022</t>
        </is>
      </c>
      <c r="E30" s="18" t="inlineStr">
        <is>
          <t>2026-07-24</t>
        </is>
      </c>
    </row>
    <row r="31">
      <c r="A31" s="18" t="inlineStr">
        <is>
          <t>NZ-MOH-ANNUAL-RETURNS-2023</t>
        </is>
      </c>
      <c r="B31" s="18" t="inlineStr">
        <is>
          <t>New Zealand Ministry of Health</t>
        </is>
      </c>
      <c r="C31" s="18" t="inlineStr">
        <is>
          <t>official</t>
        </is>
      </c>
      <c r="D31" s="18" t="inlineStr">
        <is>
          <t>https://www.health.govt.nz/regulation-legislation/vaping-herbal-smoking-and-smokeless-tobacco/requirements/complete-a-notifiable-product-annual-return/annual-returns-2023</t>
        </is>
      </c>
      <c r="E31" s="18" t="inlineStr">
        <is>
          <t>2026-07-24</t>
        </is>
      </c>
    </row>
    <row r="32">
      <c r="A32" s="18" t="inlineStr">
        <is>
          <t>NZ-MOH-ANNUAL-RETURNS-2024</t>
        </is>
      </c>
      <c r="B32" s="18" t="inlineStr">
        <is>
          <t>New Zealand Ministry of Health</t>
        </is>
      </c>
      <c r="C32" s="18" t="inlineStr">
        <is>
          <t>official</t>
        </is>
      </c>
      <c r="D32" s="18" t="inlineStr">
        <is>
          <t>https://www.health.govt.nz/regulation-legislation/vaping-herbal-smoking-and-smokeless-tobacco/requirements/complete-a-notifiable-product-annual-return/annual-returns-2024</t>
        </is>
      </c>
      <c r="E32" s="18" t="inlineStr">
        <is>
          <t>2026-07-24</t>
        </is>
      </c>
    </row>
    <row r="33">
      <c r="A33" s="18" t="inlineStr">
        <is>
          <t>PL-SEJM-I07255-O1</t>
        </is>
      </c>
      <c r="B33" s="18" t="inlineStr">
        <is>
          <t>Sejm of the Republic of Poland</t>
        </is>
      </c>
      <c r="C33" s="18" t="inlineStr">
        <is>
          <t>official</t>
        </is>
      </c>
      <c r="D33" s="18" t="inlineStr">
        <is>
          <t>https://api.sejm.gov.pl/sejm/term10/interpellations/attachment/ATTDDEJZ5/i07255-o1.pdf</t>
        </is>
      </c>
      <c r="E33" s="18" t="inlineStr">
        <is>
          <t>2026-07-22</t>
        </is>
      </c>
    </row>
    <row r="34">
      <c r="A34" s="18" t="inlineStr">
        <is>
          <t>PL-SEJM-I17526-O1</t>
        </is>
      </c>
      <c r="B34" s="18" t="inlineStr">
        <is>
          <t>Sejm of the Republic of Poland</t>
        </is>
      </c>
      <c r="C34" s="18" t="inlineStr">
        <is>
          <t>official</t>
        </is>
      </c>
      <c r="D34" s="18" t="inlineStr">
        <is>
          <t>https://api.sejm.gov.pl/sejm/term10/interpellations/attachment/ATTDVKHSJ/i17526-o1.pdf</t>
        </is>
      </c>
      <c r="E34" s="18" t="inlineStr">
        <is>
          <t>2026-07-22</t>
        </is>
      </c>
    </row>
    <row r="35">
      <c r="A35" s="18" t="inlineStr">
        <is>
          <t>PRH-FI-REGISTER</t>
        </is>
      </c>
      <c r="B35" s="18" t="inlineStr">
        <is>
          <t>Finnish Patent and Registration Office</t>
        </is>
      </c>
      <c r="C35" s="18" t="inlineStr">
        <is>
          <t>official_national_register</t>
        </is>
      </c>
      <c r="D35" s="18" t="inlineStr">
        <is>
          <t>https://patenttitietopalvelu.prh.fi/en/patent/20135829</t>
        </is>
      </c>
      <c r="E35" s="18" t="inlineStr">
        <is>
          <t>2026-07-22</t>
        </is>
      </c>
    </row>
    <row r="36">
      <c r="A36" s="18" t="inlineStr">
        <is>
          <t>ROSPATENT-REGISTER</t>
        </is>
      </c>
      <c r="B36" s="18" t="inlineStr">
        <is>
          <t>Federal Service for Intellectual Property (Rospatent)</t>
        </is>
      </c>
      <c r="C36" s="18" t="inlineStr">
        <is>
          <t>official_national_register</t>
        </is>
      </c>
      <c r="D36" s="18" t="inlineStr">
        <is>
          <t>https://new.fips.ru/registers-doc-view/fips_servlet?DB=RUPAT&amp;DocNumber=2600093&amp;TypeFile=html</t>
        </is>
      </c>
      <c r="E36" s="18" t="inlineStr">
        <is>
          <t>2026-07-22</t>
        </is>
      </c>
    </row>
    <row r="37">
      <c r="A37" s="18" t="inlineStr">
        <is>
          <t>RPAD-KANANEN-2013</t>
        </is>
      </c>
      <c r="B37" s="18" t="inlineStr">
        <is>
          <t>RPad.tv</t>
        </is>
      </c>
      <c r="C37" s="18" t="inlineStr">
        <is>
          <t>secondary_interview</t>
        </is>
      </c>
      <c r="D37" s="18" t="inlineStr">
        <is>
          <t>https://rpad.tv/2013/09/23/vaping-diaries-108-electric-angel-owner-mika-kananen-interview/</t>
        </is>
      </c>
      <c r="E37" s="18" t="inlineStr">
        <is>
          <t>2026-07-22</t>
        </is>
      </c>
    </row>
    <row r="38">
      <c r="A38" s="18" t="inlineStr">
        <is>
          <t>RPX-CN-225669</t>
        </is>
      </c>
      <c r="B38" s="18" t="inlineStr">
        <is>
          <t>RPX Insight</t>
        </is>
      </c>
      <c r="C38" s="18" t="inlineStr">
        <is>
          <t>secondary_litigation_database</t>
        </is>
      </c>
      <c r="D38" s="18" t="inlineStr">
        <is>
          <t>https://litigation.rpxcorp.com/china/prb/5153434-picsen-company-v-pixan-oy-of-365</t>
        </is>
      </c>
      <c r="E38" s="18" t="inlineStr">
        <is>
          <t>2026-07-22</t>
        </is>
      </c>
    </row>
    <row r="39">
      <c r="A39" s="18" t="inlineStr">
        <is>
          <t>SE-GOV-BERAKNINGSKONVENTIONER-2026</t>
        </is>
      </c>
      <c r="B39" s="18" t="inlineStr">
        <is>
          <t>Government Offices of Sweden</t>
        </is>
      </c>
      <c r="C39" s="18" t="inlineStr">
        <is>
          <t>official</t>
        </is>
      </c>
      <c r="D39" s="18" t="inlineStr">
        <is>
          <t>https://www.regeringen.se/contentassets/1ed01e00001b42e5ad8d47433db63ece/berakningskonventioner_2026.pdf</t>
        </is>
      </c>
      <c r="E39" s="18" t="inlineStr">
        <is>
          <t>2026-07-22</t>
        </is>
      </c>
    </row>
    <row r="40">
      <c r="A40" s="18" t="inlineStr">
        <is>
          <t>UPCA-ARTICLE-83</t>
        </is>
      </c>
      <c r="B40" s="18" t="inlineStr">
        <is>
          <t>European Patent Office / Agreement on a Unified Patent Court</t>
        </is>
      </c>
      <c r="C40" s="18" t="inlineStr">
        <is>
          <t>official_treaty_text</t>
        </is>
      </c>
      <c r="D40" s="18" t="inlineStr">
        <is>
          <t>https://www.epo.org/en/legal/up-upc/2022/upca_83.html</t>
        </is>
      </c>
      <c r="E40" s="18" t="inlineStr">
        <is>
          <t>2026-07-22</t>
        </is>
      </c>
    </row>
    <row r="41">
      <c r="A41" s="18" t="inlineStr">
        <is>
          <t>USPTO-ASSIGNMENT</t>
        </is>
      </c>
      <c r="B41" s="18" t="inlineStr">
        <is>
          <t>United States Patent and Trademark Office</t>
        </is>
      </c>
      <c r="C41" s="18" t="inlineStr">
        <is>
          <t>official_national_assignment_route</t>
        </is>
      </c>
      <c r="D41" s="18" t="inlineStr">
        <is>
          <t>https://assignment.uspto.gov/patent/index.html#/patent/search/resultFilter?searchInput=10306923</t>
        </is>
      </c>
      <c r="E41" s="18" t="inlineStr">
        <is>
          <t>2026-07-22</t>
        </is>
      </c>
    </row>
    <row r="42">
      <c r="A42" s="18" t="inlineStr">
        <is>
          <t>USPTO-MAINTENANCE</t>
        </is>
      </c>
      <c r="B42" s="18" t="inlineStr">
        <is>
          <t>United States Patent and Trademark Office</t>
        </is>
      </c>
      <c r="C42" s="18" t="inlineStr">
        <is>
          <t>official_national_fee_route</t>
        </is>
      </c>
      <c r="D42" s="18" t="inlineStr">
        <is>
          <t>https://fees.uspto.gov/MaintenanceFees/fees/details?patentNumber=10306923</t>
        </is>
      </c>
      <c r="E42" s="18" t="inlineStr">
        <is>
          <t>2026-07-22</t>
        </is>
      </c>
    </row>
    <row r="43">
      <c r="A43" s="18" t="inlineStr">
        <is>
          <t>USPTO-PATENT-CENTER</t>
        </is>
      </c>
      <c r="B43" s="18" t="inlineStr">
        <is>
          <t>United States Patent and Trademark Office</t>
        </is>
      </c>
      <c r="C43" s="18" t="inlineStr">
        <is>
          <t>official_national_register_route</t>
        </is>
      </c>
      <c r="D43" s="18" t="inlineStr">
        <is>
          <t>https://patentcenter.uspto.gov/applications/14911851</t>
        </is>
      </c>
      <c r="E43" s="18" t="inlineStr">
        <is>
          <t>2026-07-22</t>
        </is>
      </c>
    </row>
    <row r="44">
      <c r="A44" s="18" t="inlineStr">
        <is>
          <t>WAYBACK-EA-ABOUT-2012</t>
        </is>
      </c>
      <c r="B44" s="18" t="inlineStr">
        <is>
          <t>Electric Angel Oy webpage archived by Internet Archive</t>
        </is>
      </c>
      <c r="C44" s="18" t="inlineStr">
        <is>
          <t>archived_company_statement</t>
        </is>
      </c>
      <c r="D44" s="18" t="inlineStr">
        <is>
          <t>https://web.archive.org/web/20121206055248/http://www.electricangel.fi:80/page/4/about-us</t>
        </is>
      </c>
      <c r="E44" s="18" t="inlineStr">
        <is>
          <t>2026-07-22</t>
        </is>
      </c>
    </row>
    <row r="45">
      <c r="A45" s="18" t="inlineStr">
        <is>
          <t>WAYBACK-EA-INVICTUS-2013</t>
        </is>
      </c>
      <c r="B45" s="18" t="inlineStr">
        <is>
          <t>Electric Angel Oy webpage archived by Internet Archive</t>
        </is>
      </c>
      <c r="C45" s="18" t="inlineStr">
        <is>
          <t>archived_company_statement</t>
        </is>
      </c>
      <c r="D45" s="18" t="inlineStr">
        <is>
          <t>https://web.archive.org/web/20131216064916/http://www.electricangel.fi:80/news/3/ea-invictus</t>
        </is>
      </c>
      <c r="E45" s="18" t="inlineStr">
        <is>
          <t>2026-07-22</t>
        </is>
      </c>
    </row>
    <row r="46">
      <c r="A46" s="18" t="inlineStr">
        <is>
          <t>WIPO-ASSIGNMENT-LICENSING</t>
        </is>
      </c>
      <c r="B46" s="18" t="inlineStr">
        <is>
          <t>World Intellectual Property Organization</t>
        </is>
      </c>
      <c r="C46" s="18" t="inlineStr">
        <is>
          <t>official_guidance</t>
        </is>
      </c>
      <c r="D46" s="18" t="inlineStr">
        <is>
          <t>https://www.wipo.int/ja/web/business/assignment-licensing</t>
        </is>
      </c>
      <c r="E46" s="18" t="inlineStr">
        <is>
          <t>2026-07-22</t>
        </is>
      </c>
    </row>
    <row r="47">
      <c r="A47" s="18" t="inlineStr">
        <is>
          <t>WIPO-DISPUTE-RESOLUTION</t>
        </is>
      </c>
      <c r="B47" s="18" t="inlineStr">
        <is>
          <t>World Intellectual Property Organization</t>
        </is>
      </c>
      <c r="C47" s="18" t="inlineStr">
        <is>
          <t>official_guidance</t>
        </is>
      </c>
      <c r="D47" s="18" t="inlineStr">
        <is>
          <t>https://www.wipo.int/en/web/business/settle-ip-disputes</t>
        </is>
      </c>
      <c r="E47" s="18" t="inlineStr">
        <is>
          <t>2026-07-22</t>
        </is>
      </c>
    </row>
    <row r="48">
      <c r="A48" s="18" t="inlineStr">
        <is>
          <t>WIPO-IP-FINANCE</t>
        </is>
      </c>
      <c r="B48" s="18" t="inlineStr">
        <is>
          <t>World Intellectual Property Organization</t>
        </is>
      </c>
      <c r="C48" s="18" t="inlineStr">
        <is>
          <t>official_guidance</t>
        </is>
      </c>
      <c r="D48" s="18" t="inlineStr">
        <is>
          <t>https://www.wipo.int/en/web/ip-financing</t>
        </is>
      </c>
      <c r="E48" s="18" t="inlineStr">
        <is>
          <t>2026-07-22</t>
        </is>
      </c>
    </row>
    <row r="49">
      <c r="A49" s="18" t="inlineStr">
        <is>
          <t>WIPO-IP-VALUATION</t>
        </is>
      </c>
      <c r="B49" s="18" t="inlineStr">
        <is>
          <t>World Intellectual Property Organization</t>
        </is>
      </c>
      <c r="C49" s="18" t="inlineStr">
        <is>
          <t>official_guidance</t>
        </is>
      </c>
      <c r="D49" s="18" t="inlineStr">
        <is>
          <t>https://www.wipo.int/en/web/business/ip-valuation</t>
        </is>
      </c>
      <c r="E49" s="18" t="inlineStr">
        <is>
          <t>2026-07-22</t>
        </is>
      </c>
    </row>
    <row r="50">
      <c r="A50" s="18" t="inlineStr">
        <is>
          <t>WIPO-PCT-NATIONAL-PHASE</t>
        </is>
      </c>
      <c r="B50" s="18" t="inlineStr">
        <is>
          <t>World Intellectual Property Organization</t>
        </is>
      </c>
      <c r="C50" s="18" t="inlineStr">
        <is>
          <t>official_guidance</t>
        </is>
      </c>
      <c r="D50" s="18" t="inlineStr">
        <is>
          <t>https://www.wipo.int/en/web/pct-system/national-phase</t>
        </is>
      </c>
      <c r="E50" s="18" t="inlineStr">
        <is>
          <t>2026-07-22</t>
        </is>
      </c>
    </row>
    <row r="51">
      <c r="A51" s="18" t="inlineStr">
        <is>
          <t>YTJ-ELECTRIC-ANGEL</t>
        </is>
      </c>
      <c r="B51" s="18" t="inlineStr">
        <is>
          <t>Finnish Patent and Registration Office / Finnish Tax Administration</t>
        </is>
      </c>
      <c r="C51" s="18" t="inlineStr">
        <is>
          <t>official_company_register</t>
        </is>
      </c>
      <c r="D51" s="18" t="inlineStr">
        <is>
          <t>https://avoindata.prh.fi/opendata-ytj-api/v3/companies?businessId=2498114-9</t>
        </is>
      </c>
      <c r="E51" s="18" t="inlineStr">
        <is>
          <t>2026-07-22</t>
        </is>
      </c>
    </row>
    <row r="52">
      <c r="A52" s="18" t="inlineStr">
        <is>
          <t>YTJ-PIXAN</t>
        </is>
      </c>
      <c r="B52" s="18" t="inlineStr">
        <is>
          <t>Finnish Patent and Registration Office / Finnish Tax Administration</t>
        </is>
      </c>
      <c r="C52" s="18" t="inlineStr">
        <is>
          <t>official_company_register</t>
        </is>
      </c>
      <c r="D52" s="18" t="inlineStr">
        <is>
          <t>https://avoindata.prh.fi/opendata-ytj-api/v3/companies?businessId=2632380-1</t>
        </is>
      </c>
      <c r="E52" s="18" t="inlineStr">
        <is>
          <t>2026-07-22</t>
        </is>
      </c>
    </row>
  </sheetData>
  <autoFilter ref="A1:E52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Pixan Global Market Evidence Atlas</dc:creator>
  <dc:title xmlns:dc="http://purl.org/dc/elements/1.1/">Pixan Evidence Register</dc:title>
  <dc:subject xmlns:dc="http://purl.org/dc/elements/1.1/">Julkinen pankki- ja teknologia-arvioinnin evidenssirekisteri</dc:subject>
  <dcterms:created xmlns:dcterms="http://purl.org/dc/terms/" xmlns:xsi="http://www.w3.org/2001/XMLSchema-instance" xsi:type="dcterms:W3CDTF">2026-07-24T00:00:00Z</dcterms:created>
  <dcterms:modified xmlns:dcterms="http://purl.org/dc/terms/" xmlns:xsi="http://www.w3.org/2001/XMLSchema-instance" xsi:type="dcterms:W3CDTF">2026-07-24T00:00:00Z</dcterms:modified>
</cp:coreProperties>
</file>