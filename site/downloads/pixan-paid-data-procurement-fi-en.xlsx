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01d09849dd4d31" /></Relationships>
</file>

<file path=xl/workbook.xml><?xml version="1.0" encoding="utf-8"?>
<x:workbook xmlns:x="http://schemas.openxmlformats.org/spreadsheetml/2006/main">
  <x:sheets>
    <x:sheet xmlns:r="http://schemas.openxmlformats.org/officeDocument/2006/relationships" name="Decision" sheetId="1" r:id="Rdf2804040c294db4"/>
    <x:sheet xmlns:r="http://schemas.openxmlformats.org/officeDocument/2006/relationships" name="Priorities" sheetId="2" r:id="R04be9e45ccb14d06"/>
    <x:sheet xmlns:r="http://schemas.openxmlformats.org/officeDocument/2006/relationships" name="RFP Gate" sheetId="3" r:id="R1917f8f1f5c34646"/>
    <x:sheet xmlns:r="http://schemas.openxmlformats.org/officeDocument/2006/relationships" name="Avoid" sheetId="4" r:id="Ra3a8a1872a51401f"/>
    <x:sheet xmlns:r="http://schemas.openxmlformats.org/officeDocument/2006/relationships" name="Sources" sheetId="5" r:id="R0496531a64414ea7"/>
    <x:sheet xmlns:r="http://schemas.openxmlformats.org/officeDocument/2006/relationships" name="Response Scorecard" sheetId="6" r:id="R01c1d8e759fa484b"/>
    <x:sheet xmlns:r="http://schemas.openxmlformats.org/officeDocument/2006/relationships" name="Intake Template" sheetId="7" r:id="R2ee3864ab1584e38"/>
    <x:sheet xmlns:r="http://schemas.openxmlformats.org/officeDocument/2006/relationships" name="Checks" sheetId="8" r:id="Re391b33689054e74"/>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0"/>
    <x:numFmt numFmtId="202" formatCode="0"/>
    <x:numFmt numFmtId="203" formatCode="yyyy-mm-dd"/>
    <x:numFmt numFmtId="204" formatCode="0.0%"/>
  </x:numFmts>
  <x:fonts count="27">
    <x:font>
      <x:sz val="11"/>
      <x:name val="Carlito"/>
    </x:font>
    <x:font>
      <x:b/>
      <x:sz val="19"/>
      <x:color rgb="FFFFFFFF"/>
      <x:name val="Aptos Display"/>
    </x:font>
    <x:font>
      <x:i/>
      <x:sz val="9"/>
      <x:color rgb="FFDCEAF2"/>
      <x:name val="Aptos"/>
    </x:font>
    <x:font>
      <x:b/>
      <x:sz val="11"/>
      <x:color rgb="FFB42318"/>
      <x:name val="Aptos"/>
    </x:font>
    <x:font>
      <x:b/>
      <x:sz val="11"/>
      <x:color rgb="FFFFFFFF"/>
      <x:name val="Aptos"/>
    </x:font>
    <x:font>
      <x:sz val="10"/>
      <x:color rgb="FF17212B"/>
      <x:name val="Aptos"/>
    </x:font>
    <x:font>
      <x:b/>
      <x:sz val="10"/>
      <x:color rgb="FFFFFFFF"/>
      <x:name val="Aptos"/>
    </x:font>
    <x:font>
      <x:b/>
      <x:sz val="9"/>
      <x:color rgb="FFFFFFFF"/>
      <x:name val="Aptos"/>
    </x:font>
    <x:font>
      <x:sz val="9"/>
      <x:color rgb="FF17212B"/>
      <x:name val="Aptos"/>
    </x:font>
    <x:font>
      <x:b/>
      <x:sz val="9"/>
      <x:color rgb="FF071A2B"/>
      <x:name val="Aptos"/>
    </x:font>
    <x:font>
      <x:b/>
      <x:sz val="8"/>
      <x:color rgb="FF9A5A00"/>
      <x:name val="Aptos"/>
    </x:font>
    <x:font>
      <x:sz val="8"/>
      <x:color rgb="FF157347"/>
      <x:name val="Aptos"/>
    </x:font>
    <x:font>
      <x:b/>
      <x:sz val="9"/>
      <x:color rgb="FFB42318"/>
      <x:name val="Aptos"/>
    </x:font>
    <x:font>
      <x:b/>
      <x:sz val="10"/>
      <x:color rgb="FF9A5A00"/>
      <x:name val="Aptos"/>
    </x:font>
    <x:font>
      <x:b/>
      <x:sz val="9"/>
      <x:color rgb="FF2563EB"/>
      <x:name val="Aptos"/>
    </x:font>
    <x:font>
      <x:b/>
      <x:sz val="9"/>
      <x:color rgb="FF000000"/>
      <x:name val="Aptos"/>
    </x:font>
    <x:font>
      <x:b/>
      <x:sz val="9"/>
      <x:color rgb="FF008000"/>
      <x:name val="Aptos"/>
    </x:font>
    <x:font>
      <x:sz val="9"/>
      <x:color rgb="FF0000FF"/>
      <x:name val="Aptos"/>
    </x:font>
    <x:font>
      <x:sz val="9"/>
      <x:color rgb="FF000000"/>
      <x:name val="Aptos"/>
    </x:font>
    <x:font>
      <x:sz val="8"/>
      <x:color rgb="FF008000"/>
      <x:name val="Aptos"/>
    </x:font>
    <x:font>
      <x:i/>
      <x:sz val="8"/>
      <x:color rgb="FF5B6773"/>
      <x:name val="Aptos"/>
    </x:font>
    <x:font>
      <x:b/>
      <x:sz val="10"/>
      <x:color rgb="FFB42318"/>
      <x:name val="Aptos"/>
    </x:font>
    <x:font>
      <x:b/>
      <x:sz val="9"/>
      <x:color rgb="FF0000FF"/>
      <x:name val="Aptos"/>
    </x:font>
    <x:font>
      <x:b/>
      <x:sz val="15"/>
      <x:color rgb="FF000000"/>
      <x:name val="Aptos Display"/>
    </x:font>
    <x:font>
      <x:b/>
      <x:sz val="9"/>
      <x:color rgb="FF9A5A00"/>
      <x:name val="Aptos"/>
    </x:font>
    <x:font>
      <x:sz val="9"/>
      <x:color rgb="FF008000"/>
      <x:name val="Aptos"/>
    </x:font>
    <x:font>
      <x:sz val="9"/>
      <x:color rgb="FF5B6773"/>
      <x:name val="Aptos"/>
    </x:font>
  </x:fonts>
  <x:fills count="13">
    <x:fill>
      <x:patternFill patternType="none"/>
    </x:fill>
    <x:fill>
      <x:patternFill patternType="gray125"/>
    </x:fill>
    <x:fill>
      <x:patternFill patternType="solid">
        <x:fgColor rgb="FF071A2B"/>
      </x:patternFill>
    </x:fill>
    <x:fill>
      <x:patternFill patternType="solid">
        <x:fgColor rgb="FF12344A"/>
      </x:patternFill>
    </x:fill>
    <x:fill>
      <x:patternFill patternType="solid">
        <x:fgColor rgb="FFFDE7E5"/>
      </x:patternFill>
    </x:fill>
    <x:fill>
      <x:patternFill patternType="solid">
        <x:fgColor rgb="FF008B8D"/>
      </x:patternFill>
    </x:fill>
    <x:fill>
      <x:patternFill patternType="solid">
        <x:fgColor rgb="FFDDF3F1"/>
      </x:patternFill>
    </x:fill>
    <x:fill>
      <x:patternFill patternType="solid">
        <x:fgColor rgb="FF2563EB"/>
      </x:patternFill>
    </x:fill>
    <x:fill>
      <x:patternFill patternType="solid">
        <x:fgColor rgb="FFF4F7F9"/>
      </x:patternFill>
    </x:fill>
    <x:fill>
      <x:patternFill patternType="solid">
        <x:fgColor rgb="FFFFFFFF"/>
      </x:patternFill>
    </x:fill>
    <x:fill>
      <x:patternFill patternType="solid">
        <x:fgColor rgb="FFFFF1CC"/>
      </x:patternFill>
    </x:fill>
    <x:fill>
      <x:patternFill patternType="solid">
        <x:fgColor rgb="FFDFF3E8"/>
      </x:patternFill>
    </x:fill>
    <x:fill>
      <x:patternFill patternType="solid">
        <x:fgColor rgb="FFEAF2FF"/>
      </x:patternFill>
    </x:fill>
  </x:fills>
  <x:borders count="50">
    <x:border/>
    <x:border>
      <x:left style="medium">
        <x:color rgb="FFB42318"/>
      </x:left>
      <x:top style="medium">
        <x:color rgb="FFB42318"/>
      </x:top>
    </x:border>
    <x:border>
      <x:top style="medium">
        <x:color rgb="FFB42318"/>
      </x:top>
    </x:border>
    <x:border>
      <x:right style="medium">
        <x:color rgb="FFB42318"/>
      </x:right>
      <x:top style="medium">
        <x:color rgb="FFB42318"/>
      </x:top>
    </x:border>
    <x:border>
      <x:left style="medium">
        <x:color rgb="FFB42318"/>
      </x:left>
    </x:border>
    <x:border>
      <x:right style="medium">
        <x:color rgb="FFB42318"/>
      </x:right>
    </x:border>
    <x:border>
      <x:left style="medium">
        <x:color rgb="FFB42318"/>
      </x:left>
      <x:bottom style="medium">
        <x:color rgb="FFB42318"/>
      </x:bottom>
    </x:border>
    <x:border>
      <x:bottom style="medium">
        <x:color rgb="FFB42318"/>
      </x:bottom>
    </x:border>
    <x:border>
      <x:right style="medium">
        <x:color rgb="FFB42318"/>
      </x:right>
      <x:bottom style="medium">
        <x:color rgb="FFB42318"/>
      </x:bottom>
    </x:border>
    <x:border>
      <x:left style="thin">
        <x:color rgb="FF008B8D"/>
      </x:left>
      <x:top style="thin">
        <x:color rgb="FF008B8D"/>
      </x:top>
    </x:border>
    <x:border>
      <x:top style="thin">
        <x:color rgb="FF008B8D"/>
      </x:top>
    </x:border>
    <x:border>
      <x:right style="thin">
        <x:color rgb="FF008B8D"/>
      </x:right>
      <x:top style="thin">
        <x:color rgb="FF008B8D"/>
      </x:top>
    </x:border>
    <x:border>
      <x:left style="thin">
        <x:color rgb="FF008B8D"/>
      </x:left>
    </x:border>
    <x:border>
      <x:right style="thin">
        <x:color rgb="FF008B8D"/>
      </x:right>
    </x:border>
    <x:border>
      <x:left style="thin">
        <x:color rgb="FF008B8D"/>
      </x:left>
      <x:bottom style="thin">
        <x:color rgb="FF008B8D"/>
      </x:bottom>
    </x:border>
    <x:border>
      <x:bottom style="thin">
        <x:color rgb="FF008B8D"/>
      </x:bottom>
    </x:border>
    <x:border>
      <x:right style="thin">
        <x:color rgb="FF008B8D"/>
      </x:right>
      <x:bottom style="thin">
        <x:color rgb="FF008B8D"/>
      </x:bottom>
    </x:border>
    <x:border>
      <x:bottom style="medium">
        <x:color rgb="FF008B8D"/>
      </x:bottom>
    </x:border>
    <x:border>
      <x:bottom style="thin">
        <x:color rgb="FFD8E1E8"/>
      </x:bottom>
    </x:border>
    <x:border>
      <x:top style="thin">
        <x:color rgb="FFD8E1E8"/>
      </x:top>
      <x:bottom style="thin">
        <x:color rgb="FFD8E1E8"/>
      </x:bottom>
    </x:border>
    <x:border>
      <x:left style="thin">
        <x:color rgb="FF9A5A00"/>
      </x:left>
      <x:top style="thin">
        <x:color rgb="FF9A5A00"/>
      </x:top>
    </x:border>
    <x:border>
      <x:top style="thin">
        <x:color rgb="FF9A5A00"/>
      </x:top>
    </x:border>
    <x:border>
      <x:right style="thin">
        <x:color rgb="FF9A5A00"/>
      </x:right>
      <x:top style="thin">
        <x:color rgb="FF9A5A00"/>
      </x:top>
    </x:border>
    <x:border>
      <x:left style="thin">
        <x:color rgb="FF9A5A00"/>
      </x:left>
      <x:bottom style="thin">
        <x:color rgb="FF9A5A00"/>
      </x:bottom>
    </x:border>
    <x:border>
      <x:bottom style="thin">
        <x:color rgb="FF9A5A00"/>
      </x:bottom>
    </x:border>
    <x:border>
      <x:right style="thin">
        <x:color rgb="FF9A5A00"/>
      </x:right>
      <x:bottom style="thin">
        <x:color rgb="FF9A5A00"/>
      </x:bottom>
    </x:border>
    <x:border>
      <x:left style="medium">
        <x:color rgb="FF9A5A00"/>
      </x:left>
      <x:top style="medium">
        <x:color rgb="FF9A5A00"/>
      </x:top>
    </x:border>
    <x:border>
      <x:top style="medium">
        <x:color rgb="FF9A5A00"/>
      </x:top>
    </x:border>
    <x:border>
      <x:right style="medium">
        <x:color rgb="FF9A5A00"/>
      </x:right>
      <x:top style="medium">
        <x:color rgb="FF9A5A00"/>
      </x:top>
    </x:border>
    <x:border>
      <x:left style="medium">
        <x:color rgb="FF9A5A00"/>
      </x:left>
    </x:border>
    <x:border>
      <x:right style="medium">
        <x:color rgb="FF9A5A00"/>
      </x:right>
    </x:border>
    <x:border>
      <x:left style="medium">
        <x:color rgb="FF9A5A00"/>
      </x:left>
      <x:bottom style="medium">
        <x:color rgb="FF9A5A00"/>
      </x:bottom>
    </x:border>
    <x:border>
      <x:bottom style="medium">
        <x:color rgb="FF9A5A00"/>
      </x:bottom>
    </x:border>
    <x:border>
      <x:right style="medium">
        <x:color rgb="FF9A5A00"/>
      </x:right>
      <x:bottom style="medium">
        <x:color rgb="FF9A5A00"/>
      </x:bottom>
    </x:border>
    <x:border>
      <x:left style="thin">
        <x:color rgb="FFD8E1E8"/>
      </x:left>
      <x:top style="thin">
        <x:color rgb="FFD8E1E8"/>
      </x:top>
    </x:border>
    <x:border>
      <x:top style="thin">
        <x:color rgb="FFD8E1E8"/>
      </x:top>
    </x:border>
    <x:border>
      <x:right style="thin">
        <x:color rgb="FFD8E1E8"/>
      </x:right>
      <x:top style="thin">
        <x:color rgb="FFD8E1E8"/>
      </x:top>
    </x:border>
    <x:border>
      <x:left style="thin">
        <x:color rgb="FFD8E1E8"/>
      </x:left>
      <x:bottom style="thin">
        <x:color rgb="FFD8E1E8"/>
      </x:bottom>
    </x:border>
    <x:border>
      <x:right style="thin">
        <x:color rgb="FFD8E1E8"/>
      </x:right>
      <x:bottom style="thin">
        <x:color rgb="FFD8E1E8"/>
      </x:bottom>
    </x:border>
    <x:border>
      <x:left style="medium">
        <x:color rgb="FF157347"/>
      </x:left>
      <x:top style="medium">
        <x:color rgb="FF157347"/>
      </x:top>
    </x:border>
    <x:border>
      <x:top style="medium">
        <x:color rgb="FF157347"/>
      </x:top>
    </x:border>
    <x:border>
      <x:right style="medium">
        <x:color rgb="FF157347"/>
      </x:right>
      <x:top style="medium">
        <x:color rgb="FF157347"/>
      </x:top>
    </x:border>
    <x:border>
      <x:left style="medium">
        <x:color rgb="FF157347"/>
      </x:left>
    </x:border>
    <x:border>
      <x:right style="medium">
        <x:color rgb="FF157347"/>
      </x:right>
    </x:border>
    <x:border>
      <x:left style="medium">
        <x:color rgb="FF157347"/>
      </x:left>
      <x:bottom style="medium">
        <x:color rgb="FF157347"/>
      </x:bottom>
    </x:border>
    <x:border>
      <x:bottom style="medium">
        <x:color rgb="FF157347"/>
      </x:bottom>
    </x:border>
    <x:border>
      <x:right style="medium">
        <x:color rgb="FF157347"/>
      </x:right>
      <x:bottom style="medium">
        <x:color rgb="FF157347"/>
      </x:bottom>
    </x:border>
    <x:border>
      <x:left style="thin">
        <x:color rgb="FF9A5A00"/>
      </x:left>
      <x:top style="thin">
        <x:color rgb="FF9A5A00"/>
      </x:top>
      <x:bottom style="thin">
        <x:color rgb="FF9A5A00"/>
      </x:bottom>
    </x:border>
    <x:border>
      <x:top style="thin">
        <x:color rgb="FF9A5A00"/>
      </x:top>
      <x:bottom style="thin">
        <x:color rgb="FF9A5A00"/>
      </x:bottom>
    </x:border>
    <x:border>
      <x:right style="thin">
        <x:color rgb="FF9A5A00"/>
      </x:right>
      <x:top style="thin">
        <x:color rgb="FF9A5A00"/>
      </x:top>
      <x:bottom style="thin">
        <x:color rgb="FF9A5A00"/>
      </x:bottom>
    </x:border>
  </x:borders>
  <x:cellStyleXfs count="1">
    <x:xf numFmtId="0" fontId="0" fillId="0" borderId="0"/>
  </x:cellStyleXfs>
  <x:cellXfs count="3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8"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8"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3" fillId="4" borderId="4"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3" fillId="4" borderId="6" xfId="0" applyNumberFormat="1" applyFont="1" applyFill="1" applyBorder="1" applyAlignment="1">
      <x:alignment vertical="center" wrapText="1"/>
    </x:xf>
    <x:xf numFmtId="0" fontId="3" fillId="4" borderId="7" xfId="0" applyNumberFormat="1" applyFont="1" applyFill="1" applyBorder="1" applyAlignment="1">
      <x:alignment vertical="center" wrapText="1"/>
    </x:xf>
    <x:xf numFmtId="0" fontId="3" fillId="4" borderId="8"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9" xfId="0" applyNumberFormat="1" applyFont="1" applyFill="1" applyBorder="1"/>
    <x:xf numFmtId="0" fontId="5" fillId="6" borderId="10" xfId="0" applyNumberFormat="1" applyFont="1" applyFill="1" applyBorder="1"/>
    <x:xf numFmtId="0" fontId="5" fillId="6" borderId="11" xfId="0" applyNumberFormat="1" applyFont="1" applyFill="1" applyBorder="1"/>
    <x:xf numFmtId="0" fontId="5" fillId="6" borderId="12" xfId="0" applyNumberFormat="1" applyFont="1" applyFill="1" applyBorder="1"/>
    <x:xf numFmtId="0" fontId="5" fillId="6" borderId="13" xfId="0" applyNumberFormat="1" applyFont="1" applyFill="1" applyBorder="1"/>
    <x:xf numFmtId="0" fontId="5" fillId="6" borderId="14" xfId="0" applyNumberFormat="1" applyFont="1" applyFill="1" applyBorder="1"/>
    <x:xf numFmtId="0" fontId="5" fillId="6" borderId="15" xfId="0" applyNumberFormat="1" applyFont="1" applyFill="1" applyBorder="1"/>
    <x:xf numFmtId="0" fontId="5" fillId="6" borderId="16" xfId="0" applyNumberFormat="1" applyFont="1" applyFill="1" applyBorder="1"/>
    <x:xf numFmtId="0" fontId="5" fillId="6" borderId="9" xfId="0" applyNumberFormat="1" applyFont="1" applyFill="1" applyBorder="1" applyAlignment="1">
      <x:alignment wrapText="1"/>
    </x:xf>
    <x:xf numFmtId="0" fontId="5" fillId="6" borderId="10" xfId="0" applyNumberFormat="1" applyFont="1" applyFill="1" applyBorder="1" applyAlignment="1">
      <x:alignment wrapText="1"/>
    </x:xf>
    <x:xf numFmtId="0" fontId="5" fillId="6" borderId="11" xfId="0" applyNumberFormat="1" applyFont="1" applyFill="1" applyBorder="1" applyAlignment="1">
      <x:alignment wrapText="1"/>
    </x:xf>
    <x:xf numFmtId="0" fontId="5" fillId="6" borderId="12"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13" xfId="0" applyNumberFormat="1" applyFont="1" applyFill="1" applyBorder="1" applyAlignment="1">
      <x:alignment wrapText="1"/>
    </x:xf>
    <x:xf numFmtId="0" fontId="5" fillId="6" borderId="14"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6" xfId="0" applyNumberFormat="1" applyFont="1" applyFill="1" applyBorder="1" applyAlignment="1">
      <x:alignment wrapText="1"/>
    </x:xf>
    <x:xf numFmtId="0" fontId="5" fillId="6" borderId="9" xfId="0" applyNumberFormat="1" applyFont="1" applyFill="1" applyBorder="1" applyAlignment="1">
      <x:alignment vertical="center" wrapText="1"/>
    </x:xf>
    <x:xf numFmtId="0" fontId="5" fillId="6" borderId="10" xfId="0" applyNumberFormat="1" applyFont="1" applyFill="1" applyBorder="1" applyAlignment="1">
      <x:alignment vertical="center" wrapText="1"/>
    </x:xf>
    <x:xf numFmtId="0" fontId="5" fillId="6" borderId="11" xfId="0" applyNumberFormat="1" applyFont="1" applyFill="1" applyBorder="1" applyAlignment="1">
      <x:alignment vertical="center" wrapText="1"/>
    </x:xf>
    <x:xf numFmtId="0" fontId="5" fillId="6" borderId="12" xfId="0" applyNumberFormat="1" applyFont="1" applyFill="1" applyBorder="1" applyAlignment="1">
      <x:alignment vertical="center" wrapText="1"/>
    </x:xf>
    <x:xf numFmtId="0" fontId="5" fillId="6" borderId="0" xfId="0" applyNumberFormat="1" applyFont="1" applyFill="1" applyBorder="1" applyAlignment="1">
      <x:alignment vertical="center" wrapText="1"/>
    </x:xf>
    <x:xf numFmtId="0" fontId="5" fillId="6" borderId="13" xfId="0" applyNumberFormat="1" applyFont="1" applyFill="1" applyBorder="1" applyAlignment="1">
      <x:alignment vertical="center" wrapText="1"/>
    </x:xf>
    <x:xf numFmtId="0" fontId="5" fillId="6" borderId="14"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6"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7" fillId="3" borderId="0" xfId="0" applyNumberFormat="1" applyFont="1" applyFill="1" applyBorder="1"/>
    <x:xf numFmtId="0" fontId="7" fillId="3" borderId="17" xfId="0" applyNumberFormat="1" applyFont="1" applyFill="1" applyBorder="1"/>
    <x:xf numFmtId="0" fontId="7" fillId="3" borderId="17" xfId="0" applyNumberFormat="1" applyFont="1" applyFill="1" applyBorder="1" applyAlignment="1">
      <x:alignment wrapText="1"/>
    </x:xf>
    <x:xf numFmtId="0" fontId="7" fillId="3" borderId="17" xfId="0" applyNumberFormat="1" applyFont="1" applyFill="1" applyBorder="1" applyAlignment="1">
      <x:alignment horizontal="left" wrapText="1"/>
    </x:xf>
    <x:xf numFmtId="0" fontId="7" fillId="3" borderId="17" xfId="0" applyNumberFormat="1" applyFont="1" applyFill="1" applyBorder="1" applyAlignment="1">
      <x:alignment horizontal="left" vertical="center" wrapText="1"/>
    </x:xf>
    <x:xf numFmtId="0" fontId="8" fillId="0" borderId="0" xfId="0" applyNumberFormat="1" applyFont="1" applyFill="1" applyBorder="1"/>
    <x:xf numFmtId="0" fontId="8" fillId="0" borderId="18" xfId="0" applyNumberFormat="1" applyFont="1" applyFill="1" applyBorder="1"/>
    <x:xf numFmtId="0" fontId="8" fillId="0" borderId="19" xfId="0" applyNumberFormat="1" applyFont="1" applyFill="1" applyBorder="1"/>
    <x:xf numFmtId="0" fontId="8" fillId="0" borderId="18" xfId="0" applyNumberFormat="1" applyFont="1" applyFill="1" applyBorder="1" applyAlignment="1">
      <x:alignment wrapText="1"/>
    </x:xf>
    <x:xf numFmtId="0" fontId="8" fillId="0" borderId="19" xfId="0" applyNumberFormat="1" applyFont="1" applyFill="1" applyBorder="1" applyAlignment="1">
      <x:alignment wrapText="1"/>
    </x:xf>
    <x:xf numFmtId="0" fontId="8" fillId="0" borderId="18" xfId="0" applyNumberFormat="1" applyFont="1" applyFill="1" applyBorder="1" applyAlignment="1">
      <x:alignment vertical="top" wrapText="1"/>
    </x:xf>
    <x:xf numFmtId="0" fontId="8" fillId="0" borderId="19" xfId="0" applyNumberFormat="1" applyFont="1" applyFill="1" applyBorder="1" applyAlignment="1">
      <x:alignment vertical="top" wrapText="1"/>
    </x:xf>
    <x:xf numFmtId="200" fontId="8" fillId="0" borderId="18" xfId="0" applyNumberFormat="1" applyFont="1" applyFill="1" applyBorder="1" applyAlignment="1">
      <x:alignment vertical="top" wrapText="1"/>
    </x:xf>
    <x:xf numFmtId="200" fontId="8" fillId="0" borderId="19" xfId="0" applyNumberFormat="1" applyFont="1" applyFill="1" applyBorder="1" applyAlignment="1">
      <x:alignment vertical="top" wrapText="1"/>
    </x:xf>
    <x:xf numFmtId="0" fontId="0" fillId="8" borderId="0" xfId="0" applyNumberFormat="1" applyFont="1" applyFill="1" applyBorder="1"/>
    <x:xf numFmtId="0" fontId="8" fillId="8" borderId="0" xfId="0" applyNumberFormat="1" applyFont="1" applyFill="1" applyBorder="1"/>
    <x:xf numFmtId="0" fontId="8" fillId="8" borderId="18" xfId="0" applyNumberFormat="1" applyFont="1" applyFill="1" applyBorder="1"/>
    <x:xf numFmtId="0" fontId="8" fillId="8" borderId="18" xfId="0" applyNumberFormat="1" applyFont="1" applyFill="1" applyBorder="1" applyAlignment="1">
      <x:alignment wrapText="1"/>
    </x:xf>
    <x:xf numFmtId="0" fontId="8" fillId="8" borderId="18" xfId="0" applyNumberFormat="1" applyFont="1" applyFill="1" applyBorder="1" applyAlignment="1">
      <x:alignment vertical="top" wrapText="1"/>
    </x:xf>
    <x:xf numFmtId="0" fontId="9" fillId="8" borderId="18" xfId="0" applyNumberFormat="1" applyFont="1" applyFill="1" applyBorder="1" applyAlignment="1">
      <x:alignment vertical="top" wrapText="1"/>
    </x:xf>
    <x:xf numFmtId="0" fontId="0" fillId="9" borderId="0" xfId="0" applyNumberFormat="1" applyFont="1" applyFill="1" applyBorder="1"/>
    <x:xf numFmtId="0" fontId="8" fillId="9" borderId="0" xfId="0" applyNumberFormat="1" applyFont="1" applyFill="1" applyBorder="1"/>
    <x:xf numFmtId="0" fontId="8" fillId="9" borderId="18" xfId="0" applyNumberFormat="1" applyFont="1" applyFill="1" applyBorder="1"/>
    <x:xf numFmtId="0" fontId="8" fillId="9" borderId="18" xfId="0" applyNumberFormat="1" applyFont="1" applyFill="1" applyBorder="1" applyAlignment="1">
      <x:alignment wrapText="1"/>
    </x:xf>
    <x:xf numFmtId="0" fontId="8" fillId="9" borderId="18" xfId="0" applyNumberFormat="1" applyFont="1" applyFill="1" applyBorder="1" applyAlignment="1">
      <x:alignment vertical="top" wrapText="1"/>
    </x:xf>
    <x:xf numFmtId="0" fontId="9" fillId="9" borderId="18" xfId="0" applyNumberFormat="1" applyFont="1" applyFill="1" applyBorder="1" applyAlignment="1">
      <x:alignment vertical="top" wrapText="1"/>
    </x:xf>
    <x:xf numFmtId="201" fontId="8" fillId="0" borderId="18" xfId="0" applyNumberFormat="1" applyFont="1" applyFill="1" applyBorder="1" applyAlignment="1">
      <x:alignment vertical="top" wrapText="1"/>
    </x:xf>
    <x:xf numFmtId="201" fontId="8" fillId="0" borderId="19" xfId="0" applyNumberFormat="1" applyFont="1" applyFill="1" applyBorder="1" applyAlignment="1">
      <x:alignment vertical="top" wrapText="1"/>
    </x:xf>
    <x:xf numFmtId="0" fontId="0" fillId="10" borderId="0" xfId="0" applyNumberFormat="1" applyFont="1" applyFill="1" applyBorder="1"/>
    <x:xf numFmtId="0" fontId="10" fillId="10" borderId="0" xfId="0" applyNumberFormat="1" applyFont="1" applyFill="1" applyBorder="1"/>
    <x:xf numFmtId="0" fontId="10" fillId="10" borderId="20" xfId="0" applyNumberFormat="1" applyFont="1" applyFill="1" applyBorder="1"/>
    <x:xf numFmtId="0" fontId="10" fillId="10" borderId="21" xfId="0" applyNumberFormat="1" applyFont="1" applyFill="1" applyBorder="1"/>
    <x:xf numFmtId="0" fontId="10" fillId="10" borderId="22" xfId="0" applyNumberFormat="1" applyFont="1" applyFill="1" applyBorder="1"/>
    <x:xf numFmtId="0" fontId="10" fillId="10" borderId="23" xfId="0" applyNumberFormat="1" applyFont="1" applyFill="1" applyBorder="1"/>
    <x:xf numFmtId="0" fontId="10" fillId="10" borderId="24" xfId="0" applyNumberFormat="1" applyFont="1" applyFill="1" applyBorder="1"/>
    <x:xf numFmtId="0" fontId="10" fillId="10" borderId="25" xfId="0" applyNumberFormat="1" applyFont="1" applyFill="1" applyBorder="1"/>
    <x:xf numFmtId="0" fontId="10" fillId="10" borderId="20" xfId="0" applyNumberFormat="1" applyFont="1" applyFill="1" applyBorder="1" applyAlignment="1">
      <x:alignment wrapText="1"/>
    </x:xf>
    <x:xf numFmtId="0" fontId="10" fillId="10" borderId="21" xfId="0" applyNumberFormat="1" applyFont="1" applyFill="1" applyBorder="1" applyAlignment="1">
      <x:alignment wrapText="1"/>
    </x:xf>
    <x:xf numFmtId="0" fontId="10" fillId="10" borderId="22" xfId="0" applyNumberFormat="1" applyFont="1" applyFill="1" applyBorder="1" applyAlignment="1">
      <x:alignment wrapText="1"/>
    </x:xf>
    <x:xf numFmtId="0" fontId="10" fillId="10" borderId="23" xfId="0" applyNumberFormat="1" applyFont="1" applyFill="1" applyBorder="1" applyAlignment="1">
      <x:alignment wrapText="1"/>
    </x:xf>
    <x:xf numFmtId="0" fontId="10" fillId="10" borderId="24" xfId="0" applyNumberFormat="1" applyFont="1" applyFill="1" applyBorder="1" applyAlignment="1">
      <x:alignment wrapText="1"/>
    </x:xf>
    <x:xf numFmtId="0" fontId="10" fillId="10" borderId="25" xfId="0" applyNumberFormat="1" applyFont="1" applyFill="1" applyBorder="1" applyAlignment="1">
      <x:alignment wrapText="1"/>
    </x:xf>
    <x:xf numFmtId="0" fontId="10" fillId="10" borderId="20" xfId="0" applyNumberFormat="1" applyFont="1" applyFill="1" applyBorder="1" applyAlignment="1">
      <x:alignment vertical="center" wrapText="1"/>
    </x:xf>
    <x:xf numFmtId="0" fontId="10" fillId="10" borderId="21" xfId="0" applyNumberFormat="1" applyFont="1" applyFill="1" applyBorder="1" applyAlignment="1">
      <x:alignment vertical="center" wrapText="1"/>
    </x:xf>
    <x:xf numFmtId="0" fontId="10" fillId="10" borderId="22" xfId="0" applyNumberFormat="1" applyFont="1" applyFill="1" applyBorder="1" applyAlignment="1">
      <x:alignment vertical="center" wrapText="1"/>
    </x:xf>
    <x:xf numFmtId="0" fontId="10" fillId="10" borderId="23" xfId="0" applyNumberFormat="1" applyFont="1" applyFill="1" applyBorder="1" applyAlignment="1">
      <x:alignment vertical="center" wrapText="1"/>
    </x:xf>
    <x:xf numFmtId="0" fontId="10" fillId="10" borderId="24" xfId="0" applyNumberFormat="1" applyFont="1" applyFill="1" applyBorder="1" applyAlignment="1">
      <x:alignment vertical="center" wrapText="1"/>
    </x:xf>
    <x:xf numFmtId="0" fontId="10" fillId="10" borderId="25" xfId="0" applyNumberFormat="1" applyFont="1" applyFill="1" applyBorder="1" applyAlignment="1">
      <x:alignment vertical="center" wrapText="1"/>
    </x:xf>
    <x:xf numFmtId="0" fontId="8" fillId="0" borderId="18" xfId="0" applyNumberFormat="1" applyFont="1" applyFill="1" applyBorder="1" applyAlignment="1">
      <x:alignment horizontal="center" vertical="top" wrapText="1"/>
    </x:xf>
    <x:xf numFmtId="0" fontId="8" fillId="0" borderId="19" xfId="0" applyNumberFormat="1" applyFont="1" applyFill="1" applyBorder="1" applyAlignment="1">
      <x:alignment horizontal="center" vertical="top" wrapText="1"/>
    </x:xf>
    <x:xf numFmtId="202" fontId="8" fillId="0" borderId="18" xfId="0" applyNumberFormat="1" applyFont="1" applyFill="1" applyBorder="1" applyAlignment="1">
      <x:alignment horizontal="center" vertical="top" wrapText="1"/>
    </x:xf>
    <x:xf numFmtId="202" fontId="8" fillId="0" borderId="19" xfId="0" applyNumberFormat="1" applyFont="1" applyFill="1" applyBorder="1" applyAlignment="1">
      <x:alignment horizontal="center" vertical="top" wrapText="1"/>
    </x:xf>
    <x:xf numFmtId="201" fontId="8" fillId="0" borderId="18" xfId="0" applyNumberFormat="1" applyFont="1" applyFill="1" applyBorder="1" applyAlignment="1">
      <x:alignment horizontal="center" vertical="top" wrapText="1"/>
    </x:xf>
    <x:xf numFmtId="201" fontId="8" fillId="0" borderId="19" xfId="0" applyNumberFormat="1" applyFont="1" applyFill="1" applyBorder="1" applyAlignment="1">
      <x:alignment horizontal="center" vertical="top" wrapText="1"/>
    </x:xf>
    <x:xf numFmtId="0" fontId="11" fillId="0" borderId="18" xfId="0" applyNumberFormat="1" applyFont="1" applyFill="1" applyBorder="1" applyAlignment="1">
      <x:alignment vertical="top" wrapText="1"/>
    </x:xf>
    <x:xf numFmtId="0" fontId="11" fillId="0" borderId="19" xfId="0" applyNumberFormat="1" applyFont="1" applyFill="1" applyBorder="1" applyAlignment="1">
      <x:alignment vertical="top" wrapText="1"/>
    </x:xf>
    <x:xf numFmtId="0" fontId="8" fillId="11" borderId="18" xfId="0" applyNumberFormat="1" applyFont="1" applyFill="1" applyBorder="1" applyAlignment="1">
      <x:alignment horizontal="center" vertical="top" wrapText="1"/>
    </x:xf>
    <x:xf numFmtId="0" fontId="8" fillId="11" borderId="18" xfId="0" applyNumberFormat="1" applyFont="1" applyFill="1" applyBorder="1" applyAlignment="1">
      <x:alignment vertical="top" wrapText="1"/>
    </x:xf>
    <x:xf numFmtId="202" fontId="8" fillId="11" borderId="18" xfId="0" applyNumberFormat="1" applyFont="1" applyFill="1" applyBorder="1" applyAlignment="1">
      <x:alignment horizontal="center" vertical="top" wrapText="1"/>
    </x:xf>
    <x:xf numFmtId="201" fontId="8" fillId="11" borderId="18" xfId="0" applyNumberFormat="1" applyFont="1" applyFill="1" applyBorder="1" applyAlignment="1">
      <x:alignment horizontal="center" vertical="top" wrapText="1"/>
    </x:xf>
    <x:xf numFmtId="0" fontId="11" fillId="11" borderId="18" xfId="0" applyNumberFormat="1" applyFont="1" applyFill="1" applyBorder="1" applyAlignment="1">
      <x:alignment vertical="top" wrapText="1"/>
    </x:xf>
    <x:xf numFmtId="0" fontId="8" fillId="11" borderId="19" xfId="0" applyNumberFormat="1" applyFont="1" applyFill="1" applyBorder="1" applyAlignment="1">
      <x:alignment horizontal="center" vertical="top" wrapText="1"/>
    </x:xf>
    <x:xf numFmtId="0" fontId="8" fillId="11" borderId="19" xfId="0" applyNumberFormat="1" applyFont="1" applyFill="1" applyBorder="1" applyAlignment="1">
      <x:alignment vertical="top" wrapText="1"/>
    </x:xf>
    <x:xf numFmtId="202" fontId="8" fillId="11" borderId="19" xfId="0" applyNumberFormat="1" applyFont="1" applyFill="1" applyBorder="1" applyAlignment="1">
      <x:alignment horizontal="center" vertical="top" wrapText="1"/>
    </x:xf>
    <x:xf numFmtId="201" fontId="8" fillId="11" borderId="19" xfId="0" applyNumberFormat="1" applyFont="1" applyFill="1" applyBorder="1" applyAlignment="1">
      <x:alignment horizontal="center" vertical="top" wrapText="1"/>
    </x:xf>
    <x:xf numFmtId="0" fontId="11" fillId="11" borderId="19" xfId="0" applyNumberFormat="1" applyFont="1" applyFill="1" applyBorder="1" applyAlignment="1">
      <x:alignment vertical="top" wrapText="1"/>
    </x:xf>
    <x:xf numFmtId="0" fontId="8" fillId="12" borderId="19" xfId="0" applyNumberFormat="1" applyFont="1" applyFill="1" applyBorder="1" applyAlignment="1">
      <x:alignment horizontal="center" vertical="top" wrapText="1"/>
    </x:xf>
    <x:xf numFmtId="0" fontId="8" fillId="12" borderId="19" xfId="0" applyNumberFormat="1" applyFont="1" applyFill="1" applyBorder="1" applyAlignment="1">
      <x:alignment vertical="top" wrapText="1"/>
    </x:xf>
    <x:xf numFmtId="202" fontId="8" fillId="12" borderId="19" xfId="0" applyNumberFormat="1" applyFont="1" applyFill="1" applyBorder="1" applyAlignment="1">
      <x:alignment horizontal="center" vertical="top" wrapText="1"/>
    </x:xf>
    <x:xf numFmtId="201" fontId="8" fillId="12" borderId="19" xfId="0" applyNumberFormat="1" applyFont="1" applyFill="1" applyBorder="1" applyAlignment="1">
      <x:alignment horizontal="center" vertical="top" wrapText="1"/>
    </x:xf>
    <x:xf numFmtId="0" fontId="11" fillId="12" borderId="19" xfId="0" applyNumberFormat="1" applyFont="1" applyFill="1" applyBorder="1" applyAlignment="1">
      <x:alignment vertical="top" wrapText="1"/>
    </x:xf>
    <x:xf numFmtId="0" fontId="8" fillId="6" borderId="19" xfId="0" applyNumberFormat="1" applyFont="1" applyFill="1" applyBorder="1" applyAlignment="1">
      <x:alignment horizontal="center" vertical="top" wrapText="1"/>
    </x:xf>
    <x:xf numFmtId="0" fontId="8" fillId="6" borderId="19" xfId="0" applyNumberFormat="1" applyFont="1" applyFill="1" applyBorder="1" applyAlignment="1">
      <x:alignment vertical="top" wrapText="1"/>
    </x:xf>
    <x:xf numFmtId="202" fontId="8" fillId="6" borderId="19" xfId="0" applyNumberFormat="1" applyFont="1" applyFill="1" applyBorder="1" applyAlignment="1">
      <x:alignment horizontal="center" vertical="top" wrapText="1"/>
    </x:xf>
    <x:xf numFmtId="201" fontId="8" fillId="6" borderId="19" xfId="0" applyNumberFormat="1" applyFont="1" applyFill="1" applyBorder="1" applyAlignment="1">
      <x:alignment horizontal="center" vertical="top" wrapText="1"/>
    </x:xf>
    <x:xf numFmtId="0" fontId="11" fillId="6" borderId="19" xfId="0" applyNumberFormat="1" applyFont="1" applyFill="1" applyBorder="1" applyAlignment="1">
      <x:alignment vertical="top" wrapText="1"/>
    </x:xf>
    <x:xf numFmtId="0" fontId="8" fillId="8" borderId="19" xfId="0" applyNumberFormat="1" applyFont="1" applyFill="1" applyBorder="1" applyAlignment="1">
      <x:alignment horizontal="center" vertical="top" wrapText="1"/>
    </x:xf>
    <x:xf numFmtId="0" fontId="8" fillId="8" borderId="19" xfId="0" applyNumberFormat="1" applyFont="1" applyFill="1" applyBorder="1" applyAlignment="1">
      <x:alignment vertical="top" wrapText="1"/>
    </x:xf>
    <x:xf numFmtId="202" fontId="8" fillId="8" borderId="19" xfId="0" applyNumberFormat="1" applyFont="1" applyFill="1" applyBorder="1" applyAlignment="1">
      <x:alignment horizontal="center" vertical="top" wrapText="1"/>
    </x:xf>
    <x:xf numFmtId="201" fontId="8" fillId="8" borderId="19" xfId="0" applyNumberFormat="1" applyFont="1" applyFill="1" applyBorder="1" applyAlignment="1">
      <x:alignment horizontal="center" vertical="top" wrapText="1"/>
    </x:xf>
    <x:xf numFmtId="0" fontId="11" fillId="8" borderId="19" xfId="0" applyNumberFormat="1" applyFont="1" applyFill="1" applyBorder="1" applyAlignment="1">
      <x:alignment vertical="top" wrapText="1"/>
    </x:xf>
    <x:xf numFmtId="0" fontId="8" fillId="4" borderId="19" xfId="0" applyNumberFormat="1" applyFont="1" applyFill="1" applyBorder="1" applyAlignment="1">
      <x:alignment horizontal="center" vertical="top" wrapText="1"/>
    </x:xf>
    <x:xf numFmtId="0" fontId="8" fillId="4" borderId="19" xfId="0" applyNumberFormat="1" applyFont="1" applyFill="1" applyBorder="1" applyAlignment="1">
      <x:alignment vertical="top" wrapText="1"/>
    </x:xf>
    <x:xf numFmtId="0" fontId="8" fillId="10" borderId="18" xfId="0" applyNumberFormat="1" applyFont="1" applyFill="1" applyBorder="1" applyAlignment="1">
      <x:alignment vertical="top" wrapText="1"/>
    </x:xf>
    <x:xf numFmtId="0" fontId="8" fillId="10" borderId="19" xfId="0" applyNumberFormat="1" applyFont="1" applyFill="1" applyBorder="1" applyAlignment="1">
      <x:alignment vertical="top" wrapText="1"/>
    </x:xf>
    <x:xf numFmtId="0" fontId="8" fillId="10" borderId="18" xfId="0" applyNumberFormat="1" applyFont="1" applyFill="1" applyBorder="1" applyAlignment="1">
      <x:alignment horizontal="center" vertical="top" wrapText="1"/>
    </x:xf>
    <x:xf numFmtId="0" fontId="8" fillId="10" borderId="19" xfId="0" applyNumberFormat="1" applyFont="1" applyFill="1" applyBorder="1" applyAlignment="1">
      <x:alignment horizontal="center" vertical="top" wrapText="1"/>
    </x:xf>
    <x:xf numFmtId="0" fontId="12" fillId="10" borderId="18" xfId="0" applyNumberFormat="1" applyFont="1" applyFill="1" applyBorder="1" applyAlignment="1">
      <x:alignment horizontal="center" vertical="top" wrapText="1"/>
    </x:xf>
    <x:xf numFmtId="0" fontId="12" fillId="10" borderId="19" xfId="0" applyNumberFormat="1" applyFont="1" applyFill="1" applyBorder="1" applyAlignment="1">
      <x:alignment horizontal="center" vertical="top" wrapText="1"/>
    </x:xf>
    <x:xf numFmtId="0" fontId="13" fillId="10" borderId="0" xfId="0" applyNumberFormat="1" applyFont="1" applyFill="1" applyBorder="1"/>
    <x:xf numFmtId="0" fontId="13" fillId="10" borderId="26" xfId="0" applyNumberFormat="1" applyFont="1" applyFill="1" applyBorder="1"/>
    <x:xf numFmtId="0" fontId="13" fillId="10" borderId="27" xfId="0" applyNumberFormat="1" applyFont="1" applyFill="1" applyBorder="1"/>
    <x:xf numFmtId="0" fontId="13" fillId="10" borderId="28" xfId="0" applyNumberFormat="1" applyFont="1" applyFill="1" applyBorder="1"/>
    <x:xf numFmtId="0" fontId="13" fillId="10" borderId="29" xfId="0" applyNumberFormat="1" applyFont="1" applyFill="1" applyBorder="1"/>
    <x:xf numFmtId="0" fontId="13" fillId="10" borderId="30" xfId="0" applyNumberFormat="1" applyFont="1" applyFill="1" applyBorder="1"/>
    <x:xf numFmtId="0" fontId="13" fillId="10" borderId="31" xfId="0" applyNumberFormat="1" applyFont="1" applyFill="1" applyBorder="1"/>
    <x:xf numFmtId="0" fontId="13" fillId="10" borderId="32" xfId="0" applyNumberFormat="1" applyFont="1" applyFill="1" applyBorder="1"/>
    <x:xf numFmtId="0" fontId="13" fillId="10" borderId="33" xfId="0" applyNumberFormat="1" applyFont="1" applyFill="1" applyBorder="1"/>
    <x:xf numFmtId="0" fontId="13" fillId="10" borderId="26" xfId="0" applyNumberFormat="1" applyFont="1" applyFill="1" applyBorder="1" applyAlignment="1">
      <x:alignment wrapText="1"/>
    </x:xf>
    <x:xf numFmtId="0" fontId="13" fillId="10" borderId="27" xfId="0" applyNumberFormat="1" applyFont="1" applyFill="1" applyBorder="1" applyAlignment="1">
      <x:alignment wrapText="1"/>
    </x:xf>
    <x:xf numFmtId="0" fontId="13" fillId="10" borderId="28" xfId="0" applyNumberFormat="1" applyFont="1" applyFill="1" applyBorder="1" applyAlignment="1">
      <x:alignment wrapText="1"/>
    </x:xf>
    <x:xf numFmtId="0" fontId="13" fillId="10" borderId="29" xfId="0" applyNumberFormat="1" applyFont="1" applyFill="1" applyBorder="1" applyAlignment="1">
      <x:alignment wrapText="1"/>
    </x:xf>
    <x:xf numFmtId="0" fontId="13" fillId="10" borderId="0" xfId="0" applyNumberFormat="1" applyFont="1" applyFill="1" applyBorder="1" applyAlignment="1">
      <x:alignment wrapText="1"/>
    </x:xf>
    <x:xf numFmtId="0" fontId="13" fillId="10" borderId="30" xfId="0" applyNumberFormat="1" applyFont="1" applyFill="1" applyBorder="1" applyAlignment="1">
      <x:alignment wrapText="1"/>
    </x:xf>
    <x:xf numFmtId="0" fontId="13" fillId="10" borderId="31" xfId="0" applyNumberFormat="1" applyFont="1" applyFill="1" applyBorder="1" applyAlignment="1">
      <x:alignment wrapText="1"/>
    </x:xf>
    <x:xf numFmtId="0" fontId="13" fillId="10" borderId="32" xfId="0" applyNumberFormat="1" applyFont="1" applyFill="1" applyBorder="1" applyAlignment="1">
      <x:alignment wrapText="1"/>
    </x:xf>
    <x:xf numFmtId="0" fontId="13" fillId="10" borderId="33" xfId="0" applyNumberFormat="1" applyFont="1" applyFill="1" applyBorder="1" applyAlignment="1">
      <x:alignment wrapText="1"/>
    </x:xf>
    <x:xf numFmtId="0" fontId="13" fillId="10" borderId="26" xfId="0" applyNumberFormat="1" applyFont="1" applyFill="1" applyBorder="1" applyAlignment="1">
      <x:alignment vertical="center" wrapText="1"/>
    </x:xf>
    <x:xf numFmtId="0" fontId="13" fillId="10" borderId="27" xfId="0" applyNumberFormat="1" applyFont="1" applyFill="1" applyBorder="1" applyAlignment="1">
      <x:alignment vertical="center" wrapText="1"/>
    </x:xf>
    <x:xf numFmtId="0" fontId="13" fillId="10" borderId="28" xfId="0" applyNumberFormat="1" applyFont="1" applyFill="1" applyBorder="1" applyAlignment="1">
      <x:alignment vertical="center" wrapText="1"/>
    </x:xf>
    <x:xf numFmtId="0" fontId="13" fillId="10" borderId="29" xfId="0" applyNumberFormat="1" applyFont="1" applyFill="1" applyBorder="1" applyAlignment="1">
      <x:alignment vertical="center" wrapText="1"/>
    </x:xf>
    <x:xf numFmtId="0" fontId="13" fillId="10" borderId="0" xfId="0" applyNumberFormat="1" applyFont="1" applyFill="1" applyBorder="1" applyAlignment="1">
      <x:alignment vertical="center" wrapText="1"/>
    </x:xf>
    <x:xf numFmtId="0" fontId="13" fillId="10" borderId="30" xfId="0" applyNumberFormat="1" applyFont="1" applyFill="1" applyBorder="1" applyAlignment="1">
      <x:alignment vertical="center" wrapText="1"/>
    </x:xf>
    <x:xf numFmtId="0" fontId="13" fillId="10" borderId="31" xfId="0" applyNumberFormat="1" applyFont="1" applyFill="1" applyBorder="1" applyAlignment="1">
      <x:alignment vertical="center" wrapText="1"/>
    </x:xf>
    <x:xf numFmtId="0" fontId="13" fillId="10" borderId="32" xfId="0" applyNumberFormat="1" applyFont="1" applyFill="1" applyBorder="1" applyAlignment="1">
      <x:alignment vertical="center" wrapText="1"/>
    </x:xf>
    <x:xf numFmtId="0" fontId="13" fillId="10" borderId="33" xfId="0" applyNumberFormat="1" applyFont="1" applyFill="1" applyBorder="1" applyAlignment="1">
      <x:alignment vertical="center" wrapText="1"/>
    </x:xf>
    <x:xf numFmtId="0" fontId="7" fillId="7" borderId="0" xfId="0" applyNumberFormat="1" applyFont="1" applyFill="1" applyBorder="1"/>
    <x:xf numFmtId="0" fontId="14" fillId="0" borderId="18" xfId="0" applyNumberFormat="1" applyFont="1" applyFill="1" applyBorder="1" applyAlignment="1">
      <x:alignment vertical="top" wrapText="1"/>
    </x:xf>
    <x:xf numFmtId="0" fontId="15" fillId="0" borderId="18" xfId="0" applyNumberFormat="1" applyFont="1" applyFill="1" applyBorder="1" applyAlignment="1">
      <x:alignment vertical="top" wrapText="1"/>
    </x:xf>
    <x:xf numFmtId="0" fontId="16" fillId="0" borderId="18" xfId="0" applyNumberFormat="1" applyFont="1" applyFill="1" applyBorder="1" applyAlignment="1">
      <x:alignment vertical="top" wrapText="1"/>
    </x:xf>
    <x:xf numFmtId="0" fontId="7" fillId="5" borderId="0" xfId="0" applyNumberFormat="1" applyFont="1" applyFill="1" applyBorder="1"/>
    <x:xf numFmtId="0" fontId="17" fillId="0" borderId="18"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8" fillId="0" borderId="18" xfId="0" applyNumberFormat="1" applyFont="1" applyFill="1" applyBorder="1" applyAlignment="1">
      <x:alignment vertical="top" wrapText="1"/>
    </x:xf>
    <x:xf numFmtId="0" fontId="18" fillId="0" borderId="19" xfId="0" applyNumberFormat="1" applyFont="1" applyFill="1" applyBorder="1" applyAlignment="1">
      <x:alignment vertical="top" wrapText="1"/>
    </x:xf>
    <x:xf numFmtId="0" fontId="19" fillId="0" borderId="18" xfId="0" applyNumberFormat="1" applyFont="1" applyFill="1" applyBorder="1" applyAlignment="1">
      <x:alignment vertical="top" wrapText="1"/>
    </x:xf>
    <x:xf numFmtId="0" fontId="19" fillId="0" borderId="19" xfId="0" applyNumberFormat="1" applyFont="1" applyFill="1" applyBorder="1" applyAlignment="1">
      <x:alignment vertical="top" wrapText="1"/>
    </x:xf>
    <x:xf numFmtId="201" fontId="18" fillId="0" borderId="18" xfId="0" applyNumberFormat="1" applyFont="1" applyFill="1" applyBorder="1" applyAlignment="1">
      <x:alignment vertical="top" wrapText="1"/>
    </x:xf>
    <x:xf numFmtId="201" fontId="18" fillId="0" borderId="19" xfId="0" applyNumberFormat="1" applyFont="1" applyFill="1" applyBorder="1" applyAlignment="1">
      <x:alignment vertical="top" wrapText="1"/>
    </x:xf>
    <x:xf numFmtId="0" fontId="20" fillId="8" borderId="0" xfId="0" applyNumberFormat="1" applyFont="1" applyFill="1" applyBorder="1"/>
    <x:xf numFmtId="0" fontId="20" fillId="8" borderId="34" xfId="0" applyNumberFormat="1" applyFont="1" applyFill="1" applyBorder="1"/>
    <x:xf numFmtId="0" fontId="20" fillId="8" borderId="35" xfId="0" applyNumberFormat="1" applyFont="1" applyFill="1" applyBorder="1"/>
    <x:xf numFmtId="0" fontId="20" fillId="8" borderId="36" xfId="0" applyNumberFormat="1" applyFont="1" applyFill="1" applyBorder="1"/>
    <x:xf numFmtId="0" fontId="20" fillId="8" borderId="37" xfId="0" applyNumberFormat="1" applyFont="1" applyFill="1" applyBorder="1"/>
    <x:xf numFmtId="0" fontId="20" fillId="8" borderId="18" xfId="0" applyNumberFormat="1" applyFont="1" applyFill="1" applyBorder="1"/>
    <x:xf numFmtId="0" fontId="20" fillId="8" borderId="38" xfId="0" applyNumberFormat="1" applyFont="1" applyFill="1" applyBorder="1"/>
    <x:xf numFmtId="0" fontId="20" fillId="8" borderId="34" xfId="0" applyNumberFormat="1" applyFont="1" applyFill="1" applyBorder="1" applyAlignment="1">
      <x:alignment wrapText="1"/>
    </x:xf>
    <x:xf numFmtId="0" fontId="20" fillId="8" borderId="35" xfId="0" applyNumberFormat="1" applyFont="1" applyFill="1" applyBorder="1" applyAlignment="1">
      <x:alignment wrapText="1"/>
    </x:xf>
    <x:xf numFmtId="0" fontId="20" fillId="8" borderId="36" xfId="0" applyNumberFormat="1" applyFont="1" applyFill="1" applyBorder="1" applyAlignment="1">
      <x:alignment wrapText="1"/>
    </x:xf>
    <x:xf numFmtId="0" fontId="20" fillId="8" borderId="37" xfId="0" applyNumberFormat="1" applyFont="1" applyFill="1" applyBorder="1" applyAlignment="1">
      <x:alignment wrapText="1"/>
    </x:xf>
    <x:xf numFmtId="0" fontId="20" fillId="8" borderId="18" xfId="0" applyNumberFormat="1" applyFont="1" applyFill="1" applyBorder="1" applyAlignment="1">
      <x:alignment wrapText="1"/>
    </x:xf>
    <x:xf numFmtId="0" fontId="20" fillId="8" borderId="38" xfId="0" applyNumberFormat="1" applyFont="1" applyFill="1" applyBorder="1" applyAlignment="1">
      <x:alignment wrapText="1"/>
    </x:xf>
    <x:xf numFmtId="0" fontId="20" fillId="8" borderId="34" xfId="0" applyNumberFormat="1" applyFont="1" applyFill="1" applyBorder="1" applyAlignment="1">
      <x:alignment vertical="center" wrapText="1"/>
    </x:xf>
    <x:xf numFmtId="0" fontId="20" fillId="8" borderId="35" xfId="0" applyNumberFormat="1" applyFont="1" applyFill="1" applyBorder="1" applyAlignment="1">
      <x:alignment vertical="center" wrapText="1"/>
    </x:xf>
    <x:xf numFmtId="0" fontId="20" fillId="8" borderId="36" xfId="0" applyNumberFormat="1" applyFont="1" applyFill="1" applyBorder="1" applyAlignment="1">
      <x:alignment vertical="center" wrapText="1"/>
    </x:xf>
    <x:xf numFmtId="0" fontId="20" fillId="8" borderId="37" xfId="0" applyNumberFormat="1" applyFont="1" applyFill="1" applyBorder="1" applyAlignment="1">
      <x:alignment vertical="center" wrapText="1"/>
    </x:xf>
    <x:xf numFmtId="0" fontId="20" fillId="8" borderId="18" xfId="0" applyNumberFormat="1" applyFont="1" applyFill="1" applyBorder="1" applyAlignment="1">
      <x:alignment vertical="center" wrapText="1"/>
    </x:xf>
    <x:xf numFmtId="0" fontId="20" fillId="8" borderId="38" xfId="0" applyNumberFormat="1" applyFont="1" applyFill="1" applyBorder="1" applyAlignment="1">
      <x:alignment vertical="center" wrapText="1"/>
    </x:xf>
    <x:xf numFmtId="0" fontId="21" fillId="4" borderId="0" xfId="0" applyNumberFormat="1" applyFont="1" applyFill="1" applyBorder="1"/>
    <x:xf numFmtId="0" fontId="21" fillId="4" borderId="1" xfId="0" applyNumberFormat="1" applyFont="1" applyFill="1" applyBorder="1"/>
    <x:xf numFmtId="0" fontId="21" fillId="4" borderId="2" xfId="0" applyNumberFormat="1" applyFont="1" applyFill="1" applyBorder="1"/>
    <x:xf numFmtId="0" fontId="21" fillId="4" borderId="3" xfId="0" applyNumberFormat="1" applyFont="1" applyFill="1" applyBorder="1"/>
    <x:xf numFmtId="0" fontId="21" fillId="4" borderId="4" xfId="0" applyNumberFormat="1" applyFont="1" applyFill="1" applyBorder="1"/>
    <x:xf numFmtId="0" fontId="21" fillId="4" borderId="5" xfId="0" applyNumberFormat="1" applyFont="1" applyFill="1" applyBorder="1"/>
    <x:xf numFmtId="0" fontId="21" fillId="4" borderId="6" xfId="0" applyNumberFormat="1" applyFont="1" applyFill="1" applyBorder="1"/>
    <x:xf numFmtId="0" fontId="21" fillId="4" borderId="7" xfId="0" applyNumberFormat="1" applyFont="1" applyFill="1" applyBorder="1"/>
    <x:xf numFmtId="0" fontId="21" fillId="4" borderId="8" xfId="0" applyNumberFormat="1" applyFont="1" applyFill="1" applyBorder="1"/>
    <x:xf numFmtId="0" fontId="21" fillId="4" borderId="1" xfId="0" applyNumberFormat="1" applyFont="1" applyFill="1" applyBorder="1" applyAlignment="1">
      <x:alignment wrapText="1"/>
    </x:xf>
    <x:xf numFmtId="0" fontId="21" fillId="4" borderId="2" xfId="0" applyNumberFormat="1" applyFont="1" applyFill="1" applyBorder="1" applyAlignment="1">
      <x:alignment wrapText="1"/>
    </x:xf>
    <x:xf numFmtId="0" fontId="21" fillId="4" borderId="3" xfId="0" applyNumberFormat="1" applyFont="1" applyFill="1" applyBorder="1" applyAlignment="1">
      <x:alignment wrapText="1"/>
    </x:xf>
    <x:xf numFmtId="0" fontId="21" fillId="4" borderId="4" xfId="0" applyNumberFormat="1" applyFont="1" applyFill="1" applyBorder="1" applyAlignment="1">
      <x:alignment wrapText="1"/>
    </x:xf>
    <x:xf numFmtId="0" fontId="21" fillId="4" borderId="0" xfId="0" applyNumberFormat="1" applyFont="1" applyFill="1" applyBorder="1" applyAlignment="1">
      <x:alignment wrapText="1"/>
    </x:xf>
    <x:xf numFmtId="0" fontId="21" fillId="4" borderId="5" xfId="0" applyNumberFormat="1" applyFont="1" applyFill="1" applyBorder="1" applyAlignment="1">
      <x:alignment wrapText="1"/>
    </x:xf>
    <x:xf numFmtId="0" fontId="21" fillId="4" borderId="6" xfId="0" applyNumberFormat="1" applyFont="1" applyFill="1" applyBorder="1" applyAlignment="1">
      <x:alignment wrapText="1"/>
    </x:xf>
    <x:xf numFmtId="0" fontId="21" fillId="4" borderId="7" xfId="0" applyNumberFormat="1" applyFont="1" applyFill="1" applyBorder="1" applyAlignment="1">
      <x:alignment wrapText="1"/>
    </x:xf>
    <x:xf numFmtId="0" fontId="21" fillId="4" borderId="8" xfId="0" applyNumberFormat="1" applyFont="1" applyFill="1" applyBorder="1" applyAlignment="1">
      <x:alignment wrapText="1"/>
    </x:xf>
    <x:xf numFmtId="0" fontId="21" fillId="4" borderId="1" xfId="0" applyNumberFormat="1" applyFont="1" applyFill="1" applyBorder="1" applyAlignment="1">
      <x:alignment vertical="center" wrapText="1"/>
    </x:xf>
    <x:xf numFmtId="0" fontId="21" fillId="4" borderId="2" xfId="0" applyNumberFormat="1" applyFont="1" applyFill="1" applyBorder="1" applyAlignment="1">
      <x:alignment vertical="center" wrapText="1"/>
    </x:xf>
    <x:xf numFmtId="0" fontId="21" fillId="4" borderId="3" xfId="0" applyNumberFormat="1" applyFont="1" applyFill="1" applyBorder="1" applyAlignment="1">
      <x:alignment vertical="center" wrapText="1"/>
    </x:xf>
    <x:xf numFmtId="0" fontId="21" fillId="4" borderId="4" xfId="0" applyNumberFormat="1" applyFont="1" applyFill="1" applyBorder="1" applyAlignment="1">
      <x:alignment vertical="center" wrapText="1"/>
    </x:xf>
    <x:xf numFmtId="0" fontId="21" fillId="4" borderId="0" xfId="0" applyNumberFormat="1" applyFont="1" applyFill="1" applyBorder="1" applyAlignment="1">
      <x:alignment vertical="center" wrapText="1"/>
    </x:xf>
    <x:xf numFmtId="0" fontId="21" fillId="4" borderId="5" xfId="0" applyNumberFormat="1" applyFont="1" applyFill="1" applyBorder="1" applyAlignment="1">
      <x:alignment vertical="center" wrapText="1"/>
    </x:xf>
    <x:xf numFmtId="0" fontId="21" fillId="4" borderId="6" xfId="0" applyNumberFormat="1" applyFont="1" applyFill="1" applyBorder="1" applyAlignment="1">
      <x:alignment vertical="center" wrapText="1"/>
    </x:xf>
    <x:xf numFmtId="0" fontId="21" fillId="4" borderId="7" xfId="0" applyNumberFormat="1" applyFont="1" applyFill="1" applyBorder="1" applyAlignment="1">
      <x:alignment vertical="center" wrapText="1"/>
    </x:xf>
    <x:xf numFmtId="0" fontId="21" fillId="4" borderId="8" xfId="0" applyNumberFormat="1" applyFont="1" applyFill="1" applyBorder="1" applyAlignment="1">
      <x:alignment vertical="center" wrapText="1"/>
    </x:xf>
    <x:xf numFmtId="0" fontId="22" fillId="0" borderId="18" xfId="0" applyNumberFormat="1" applyFont="1" applyFill="1" applyBorder="1" applyAlignment="1">
      <x:alignment vertical="top" wrapText="1"/>
    </x:xf>
    <x:xf numFmtId="203" fontId="17" fillId="0" borderId="18" xfId="0" applyNumberFormat="1" applyFont="1" applyFill="1" applyBorder="1" applyAlignment="1">
      <x:alignment vertical="top" wrapText="1"/>
    </x:xf>
    <x:xf numFmtId="203" fontId="17" fillId="0" borderId="19" xfId="0" applyNumberFormat="1" applyFont="1" applyFill="1" applyBorder="1" applyAlignment="1">
      <x:alignment vertical="top" wrapText="1"/>
    </x:xf>
    <x:xf numFmtId="202" fontId="17" fillId="0" borderId="18" xfId="0" applyNumberFormat="1" applyFont="1" applyFill="1" applyBorder="1" applyAlignment="1">
      <x:alignment vertical="top" wrapText="1"/>
    </x:xf>
    <x:xf numFmtId="202" fontId="17" fillId="0" borderId="19" xfId="0" applyNumberFormat="1" applyFont="1" applyFill="1" applyBorder="1" applyAlignment="1">
      <x:alignment vertical="top" wrapText="1"/>
    </x:xf>
    <x:xf numFmtId="0" fontId="0" fillId="11" borderId="0" xfId="0" applyNumberFormat="1" applyFont="1" applyFill="1" applyBorder="1"/>
    <x:xf numFmtId="0" fontId="23" fillId="11" borderId="0" xfId="0" applyNumberFormat="1" applyFont="1" applyFill="1" applyBorder="1"/>
    <x:xf numFmtId="0" fontId="23" fillId="11" borderId="39" xfId="0" applyNumberFormat="1" applyFont="1" applyFill="1" applyBorder="1"/>
    <x:xf numFmtId="0" fontId="23" fillId="11" borderId="40" xfId="0" applyNumberFormat="1" applyFont="1" applyFill="1" applyBorder="1"/>
    <x:xf numFmtId="0" fontId="23" fillId="11" borderId="41" xfId="0" applyNumberFormat="1" applyFont="1" applyFill="1" applyBorder="1"/>
    <x:xf numFmtId="0" fontId="23" fillId="11" borderId="42" xfId="0" applyNumberFormat="1" applyFont="1" applyFill="1" applyBorder="1"/>
    <x:xf numFmtId="0" fontId="23" fillId="11" borderId="43" xfId="0" applyNumberFormat="1" applyFont="1" applyFill="1" applyBorder="1"/>
    <x:xf numFmtId="0" fontId="23" fillId="11" borderId="44" xfId="0" applyNumberFormat="1" applyFont="1" applyFill="1" applyBorder="1"/>
    <x:xf numFmtId="0" fontId="23" fillId="11" borderId="45" xfId="0" applyNumberFormat="1" applyFont="1" applyFill="1" applyBorder="1"/>
    <x:xf numFmtId="0" fontId="23" fillId="11" borderId="46" xfId="0" applyNumberFormat="1" applyFont="1" applyFill="1" applyBorder="1"/>
    <x:xf numFmtId="0" fontId="23" fillId="11" borderId="39" xfId="0" applyNumberFormat="1" applyFont="1" applyFill="1" applyBorder="1" applyAlignment="1">
      <x:alignment wrapText="1"/>
    </x:xf>
    <x:xf numFmtId="0" fontId="23" fillId="11" borderId="40" xfId="0" applyNumberFormat="1" applyFont="1" applyFill="1" applyBorder="1" applyAlignment="1">
      <x:alignment wrapText="1"/>
    </x:xf>
    <x:xf numFmtId="0" fontId="23" fillId="11" borderId="41" xfId="0" applyNumberFormat="1" applyFont="1" applyFill="1" applyBorder="1" applyAlignment="1">
      <x:alignment wrapText="1"/>
    </x:xf>
    <x:xf numFmtId="0" fontId="23" fillId="11" borderId="42" xfId="0" applyNumberFormat="1" applyFont="1" applyFill="1" applyBorder="1" applyAlignment="1">
      <x:alignment wrapText="1"/>
    </x:xf>
    <x:xf numFmtId="0" fontId="23" fillId="11" borderId="0" xfId="0" applyNumberFormat="1" applyFont="1" applyFill="1" applyBorder="1" applyAlignment="1">
      <x:alignment wrapText="1"/>
    </x:xf>
    <x:xf numFmtId="0" fontId="23" fillId="11" borderId="43" xfId="0" applyNumberFormat="1" applyFont="1" applyFill="1" applyBorder="1" applyAlignment="1">
      <x:alignment wrapText="1"/>
    </x:xf>
    <x:xf numFmtId="0" fontId="23" fillId="11" borderId="44" xfId="0" applyNumberFormat="1" applyFont="1" applyFill="1" applyBorder="1" applyAlignment="1">
      <x:alignment wrapText="1"/>
    </x:xf>
    <x:xf numFmtId="0" fontId="23" fillId="11" borderId="45" xfId="0" applyNumberFormat="1" applyFont="1" applyFill="1" applyBorder="1" applyAlignment="1">
      <x:alignment wrapText="1"/>
    </x:xf>
    <x:xf numFmtId="0" fontId="23" fillId="11" borderId="46" xfId="0" applyNumberFormat="1" applyFont="1" applyFill="1" applyBorder="1" applyAlignment="1">
      <x:alignment wrapText="1"/>
    </x:xf>
    <x:xf numFmtId="0" fontId="23" fillId="11" borderId="39" xfId="0" applyNumberFormat="1" applyFont="1" applyFill="1" applyBorder="1" applyAlignment="1">
      <x:alignment horizontal="center" wrapText="1"/>
    </x:xf>
    <x:xf numFmtId="0" fontId="23" fillId="11" borderId="40" xfId="0" applyNumberFormat="1" applyFont="1" applyFill="1" applyBorder="1" applyAlignment="1">
      <x:alignment horizontal="center" wrapText="1"/>
    </x:xf>
    <x:xf numFmtId="0" fontId="23" fillId="11" borderId="41" xfId="0" applyNumberFormat="1" applyFont="1" applyFill="1" applyBorder="1" applyAlignment="1">
      <x:alignment horizontal="center" wrapText="1"/>
    </x:xf>
    <x:xf numFmtId="0" fontId="23" fillId="11" borderId="42" xfId="0" applyNumberFormat="1" applyFont="1" applyFill="1" applyBorder="1" applyAlignment="1">
      <x:alignment horizontal="center" wrapText="1"/>
    </x:xf>
    <x:xf numFmtId="0" fontId="23" fillId="11" borderId="0" xfId="0" applyNumberFormat="1" applyFont="1" applyFill="1" applyBorder="1" applyAlignment="1">
      <x:alignment horizontal="center" wrapText="1"/>
    </x:xf>
    <x:xf numFmtId="0" fontId="23" fillId="11" borderId="43" xfId="0" applyNumberFormat="1" applyFont="1" applyFill="1" applyBorder="1" applyAlignment="1">
      <x:alignment horizontal="center" wrapText="1"/>
    </x:xf>
    <x:xf numFmtId="0" fontId="23" fillId="11" borderId="44" xfId="0" applyNumberFormat="1" applyFont="1" applyFill="1" applyBorder="1" applyAlignment="1">
      <x:alignment horizontal="center" wrapText="1"/>
    </x:xf>
    <x:xf numFmtId="0" fontId="23" fillId="11" borderId="45" xfId="0" applyNumberFormat="1" applyFont="1" applyFill="1" applyBorder="1" applyAlignment="1">
      <x:alignment horizontal="center" wrapText="1"/>
    </x:xf>
    <x:xf numFmtId="0" fontId="23" fillId="11" borderId="46" xfId="0" applyNumberFormat="1" applyFont="1" applyFill="1" applyBorder="1" applyAlignment="1">
      <x:alignment horizontal="center" wrapText="1"/>
    </x:xf>
    <x:xf numFmtId="0" fontId="23" fillId="11" borderId="39" xfId="0" applyNumberFormat="1" applyFont="1" applyFill="1" applyBorder="1" applyAlignment="1">
      <x:alignment horizontal="center" vertical="center" wrapText="1"/>
    </x:xf>
    <x:xf numFmtId="0" fontId="23" fillId="11" borderId="40" xfId="0" applyNumberFormat="1" applyFont="1" applyFill="1" applyBorder="1" applyAlignment="1">
      <x:alignment horizontal="center" vertical="center" wrapText="1"/>
    </x:xf>
    <x:xf numFmtId="0" fontId="23" fillId="11" borderId="41" xfId="0" applyNumberFormat="1" applyFont="1" applyFill="1" applyBorder="1" applyAlignment="1">
      <x:alignment horizontal="center" vertical="center" wrapText="1"/>
    </x:xf>
    <x:xf numFmtId="0" fontId="23" fillId="11" borderId="42" xfId="0" applyNumberFormat="1" applyFont="1" applyFill="1" applyBorder="1" applyAlignment="1">
      <x:alignment horizontal="center" vertical="center" wrapText="1"/>
    </x:xf>
    <x:xf numFmtId="0" fontId="23" fillId="11" borderId="0" xfId="0" applyNumberFormat="1" applyFont="1" applyFill="1" applyBorder="1" applyAlignment="1">
      <x:alignment horizontal="center" vertical="center" wrapText="1"/>
    </x:xf>
    <x:xf numFmtId="0" fontId="23" fillId="11" borderId="43" xfId="0" applyNumberFormat="1" applyFont="1" applyFill="1" applyBorder="1" applyAlignment="1">
      <x:alignment horizontal="center" vertical="center" wrapText="1"/>
    </x:xf>
    <x:xf numFmtId="0" fontId="23" fillId="11" borderId="44" xfId="0" applyNumberFormat="1" applyFont="1" applyFill="1" applyBorder="1" applyAlignment="1">
      <x:alignment horizontal="center" vertical="center" wrapText="1"/>
    </x:xf>
    <x:xf numFmtId="0" fontId="23" fillId="11" borderId="45" xfId="0" applyNumberFormat="1" applyFont="1" applyFill="1" applyBorder="1" applyAlignment="1">
      <x:alignment horizontal="center" vertical="center" wrapText="1"/>
    </x:xf>
    <x:xf numFmtId="0" fontId="23" fillId="11" borderId="46" xfId="0" applyNumberFormat="1" applyFont="1" applyFill="1" applyBorder="1" applyAlignment="1">
      <x:alignment horizontal="center" vertical="center" wrapText="1"/>
    </x:xf>
    <x:xf numFmtId="0" fontId="24" fillId="10" borderId="0" xfId="0" applyNumberFormat="1" applyFont="1" applyFill="1" applyBorder="1"/>
    <x:xf numFmtId="0" fontId="24" fillId="10" borderId="47" xfId="0" applyNumberFormat="1" applyFont="1" applyFill="1" applyBorder="1"/>
    <x:xf numFmtId="0" fontId="24" fillId="10" borderId="48" xfId="0" applyNumberFormat="1" applyFont="1" applyFill="1" applyBorder="1"/>
    <x:xf numFmtId="0" fontId="24" fillId="10" borderId="49" xfId="0" applyNumberFormat="1" applyFont="1" applyFill="1" applyBorder="1"/>
    <x:xf numFmtId="0" fontId="24" fillId="10" borderId="47" xfId="0" applyNumberFormat="1" applyFont="1" applyFill="1" applyBorder="1" applyAlignment="1">
      <x:alignment wrapText="1"/>
    </x:xf>
    <x:xf numFmtId="0" fontId="24" fillId="10" borderId="48" xfId="0" applyNumberFormat="1" applyFont="1" applyFill="1" applyBorder="1" applyAlignment="1">
      <x:alignment wrapText="1"/>
    </x:xf>
    <x:xf numFmtId="0" fontId="24" fillId="10" borderId="49" xfId="0" applyNumberFormat="1" applyFont="1" applyFill="1" applyBorder="1" applyAlignment="1">
      <x:alignment wrapText="1"/>
    </x:xf>
    <x:xf numFmtId="0" fontId="24" fillId="10" borderId="47" xfId="0" applyNumberFormat="1" applyFont="1" applyFill="1" applyBorder="1" applyAlignment="1">
      <x:alignment vertical="center" wrapText="1"/>
    </x:xf>
    <x:xf numFmtId="0" fontId="24" fillId="10" borderId="48" xfId="0" applyNumberFormat="1" applyFont="1" applyFill="1" applyBorder="1" applyAlignment="1">
      <x:alignment vertical="center" wrapText="1"/>
    </x:xf>
    <x:xf numFmtId="0" fontId="24" fillId="10" borderId="49" xfId="0" applyNumberFormat="1" applyFont="1" applyFill="1" applyBorder="1" applyAlignment="1">
      <x:alignment vertical="center" wrapText="1"/>
    </x:xf>
    <x:xf numFmtId="0" fontId="25" fillId="0" borderId="18" xfId="0" applyNumberFormat="1" applyFont="1" applyFill="1" applyBorder="1" applyAlignment="1">
      <x:alignment vertical="top" wrapText="1"/>
    </x:xf>
    <x:xf numFmtId="0" fontId="25" fillId="0" borderId="19" xfId="0" applyNumberFormat="1" applyFont="1" applyFill="1" applyBorder="1" applyAlignment="1">
      <x:alignment vertical="top" wrapText="1"/>
    </x:xf>
    <x:xf numFmtId="204" fontId="25" fillId="0" borderId="18" xfId="0" applyNumberFormat="1" applyFont="1" applyFill="1" applyBorder="1" applyAlignment="1">
      <x:alignment vertical="top" wrapText="1"/>
    </x:xf>
    <x:xf numFmtId="204" fontId="8" fillId="0" borderId="18" xfId="0" applyNumberFormat="1" applyFont="1" applyFill="1" applyBorder="1" applyAlignment="1">
      <x:alignment vertical="top" wrapText="1"/>
    </x:xf>
    <x:xf numFmtId="204" fontId="18" fillId="0" borderId="18" xfId="0" applyNumberFormat="1" applyFont="1" applyFill="1" applyBorder="1" applyAlignment="1">
      <x:alignment vertical="top" wrapText="1"/>
    </x:xf>
    <x:xf numFmtId="201" fontId="25" fillId="0" borderId="19" xfId="0" applyNumberFormat="1" applyFont="1" applyFill="1" applyBorder="1" applyAlignment="1">
      <x:alignment vertical="top" wrapText="1"/>
    </x:xf>
    <x:xf numFmtId="0" fontId="26" fillId="8" borderId="0" xfId="0" applyNumberFormat="1" applyFont="1" applyFill="1" applyBorder="1"/>
    <x:xf numFmtId="0" fontId="26" fillId="8" borderId="34" xfId="0" applyNumberFormat="1" applyFont="1" applyFill="1" applyBorder="1"/>
    <x:xf numFmtId="0" fontId="26" fillId="8" borderId="35" xfId="0" applyNumberFormat="1" applyFont="1" applyFill="1" applyBorder="1"/>
    <x:xf numFmtId="0" fontId="26" fillId="8" borderId="36" xfId="0" applyNumberFormat="1" applyFont="1" applyFill="1" applyBorder="1"/>
    <x:xf numFmtId="0" fontId="26" fillId="8" borderId="37" xfId="0" applyNumberFormat="1" applyFont="1" applyFill="1" applyBorder="1"/>
    <x:xf numFmtId="0" fontId="26" fillId="8" borderId="18" xfId="0" applyNumberFormat="1" applyFont="1" applyFill="1" applyBorder="1"/>
    <x:xf numFmtId="0" fontId="26" fillId="8" borderId="38" xfId="0" applyNumberFormat="1" applyFont="1" applyFill="1" applyBorder="1"/>
    <x:xf numFmtId="0" fontId="26" fillId="8" borderId="34" xfId="0" applyNumberFormat="1" applyFont="1" applyFill="1" applyBorder="1" applyAlignment="1">
      <x:alignment wrapText="1"/>
    </x:xf>
    <x:xf numFmtId="0" fontId="26" fillId="8" borderId="35" xfId="0" applyNumberFormat="1" applyFont="1" applyFill="1" applyBorder="1" applyAlignment="1">
      <x:alignment wrapText="1"/>
    </x:xf>
    <x:xf numFmtId="0" fontId="26" fillId="8" borderId="36" xfId="0" applyNumberFormat="1" applyFont="1" applyFill="1" applyBorder="1" applyAlignment="1">
      <x:alignment wrapText="1"/>
    </x:xf>
    <x:xf numFmtId="0" fontId="26" fillId="8" borderId="37" xfId="0" applyNumberFormat="1" applyFont="1" applyFill="1" applyBorder="1" applyAlignment="1">
      <x:alignment wrapText="1"/>
    </x:xf>
    <x:xf numFmtId="0" fontId="26" fillId="8" borderId="18" xfId="0" applyNumberFormat="1" applyFont="1" applyFill="1" applyBorder="1" applyAlignment="1">
      <x:alignment wrapText="1"/>
    </x:xf>
    <x:xf numFmtId="0" fontId="26" fillId="8" borderId="38" xfId="0" applyNumberFormat="1" applyFont="1" applyFill="1" applyBorder="1" applyAlignment="1">
      <x:alignment wrapText="1"/>
    </x:xf>
    <x:xf numFmtId="0" fontId="26" fillId="8" borderId="34" xfId="0" applyNumberFormat="1" applyFont="1" applyFill="1" applyBorder="1" applyAlignment="1">
      <x:alignment vertical="center" wrapText="1"/>
    </x:xf>
    <x:xf numFmtId="0" fontId="26" fillId="8" borderId="35" xfId="0" applyNumberFormat="1" applyFont="1" applyFill="1" applyBorder="1" applyAlignment="1">
      <x:alignment vertical="center" wrapText="1"/>
    </x:xf>
    <x:xf numFmtId="0" fontId="26" fillId="8" borderId="36" xfId="0" applyNumberFormat="1" applyFont="1" applyFill="1" applyBorder="1" applyAlignment="1">
      <x:alignment vertical="center" wrapText="1"/>
    </x:xf>
    <x:xf numFmtId="0" fontId="26" fillId="8" borderId="37" xfId="0" applyNumberFormat="1" applyFont="1" applyFill="1" applyBorder="1" applyAlignment="1">
      <x:alignment vertical="center" wrapText="1"/>
    </x:xf>
    <x:xf numFmtId="0" fontId="26" fillId="8" borderId="18" xfId="0" applyNumberFormat="1" applyFont="1" applyFill="1" applyBorder="1" applyAlignment="1">
      <x:alignment vertical="center" wrapText="1"/>
    </x:xf>
    <x:xf numFmtId="0" fontId="26" fillId="8" borderId="38" xfId="0" applyNumberFormat="1" applyFont="1" applyFill="1" applyBorder="1" applyAlignment="1">
      <x:alignment vertical="center" wrapText="1"/>
    </x:xf>
  </x:cellXfs>
  <x:cellStyles count="1">
    <x:cellStyle name="Normal" xfId="0"/>
  </x:cellStyles>
  <x:dxfs count="14">
    <x:dxf>
      <x:font>
        <x:b/>
        <x:color rgb="FF157347"/>
      </x:font>
      <x:fill>
        <x:patternFill>
          <x:bgColor rgb="FFDFF3E8"/>
        </x:patternFill>
      </x:fill>
    </x:dxf>
    <x:dxf>
      <x:font>
        <x:b/>
        <x:color rgb="FF9A5A00"/>
      </x:font>
      <x:fill>
        <x:patternFill>
          <x:bgColor rgb="FFFFF1CC"/>
        </x:patternFill>
      </x:fill>
    </x:dxf>
    <x:dxf>
      <x:font>
        <x:b/>
        <x:color rgb="FF157347"/>
      </x:font>
      <x:fill>
        <x:patternFill>
          <x:bgColor rgb="FFDFF3E8"/>
        </x:patternFill>
      </x:fill>
    </x:dxf>
    <x:dxf>
      <x:font>
        <x:b/>
        <x:color rgb="FFB42318"/>
      </x:font>
      <x:fill>
        <x:patternFill>
          <x:bgColor rgb="FFFDE7E5"/>
        </x:patternFill>
      </x:fill>
    </x:dxf>
    <x:dxf>
      <x:font>
        <x:b/>
        <x:color rgb="FF157347"/>
      </x:font>
      <x:fill>
        <x:patternFill>
          <x:bgColor rgb="FFDFF3E8"/>
        </x:patternFill>
      </x:fill>
    </x:dxf>
    <x:dxf>
      <x:font>
        <x:b/>
        <x:color rgb="FFB42318"/>
      </x:font>
      <x:fill>
        <x:patternFill>
          <x:bgColor rgb="FFFDE7E5"/>
        </x:patternFill>
      </x:fill>
    </x:dxf>
    <x:dxf>
      <x:font>
        <x:b/>
        <x:color rgb="FF157347"/>
      </x:font>
      <x:fill>
        <x:patternFill>
          <x:bgColor rgb="FFDFF3E8"/>
        </x:patternFill>
      </x:fill>
    </x:dxf>
    <x:dxf>
      <x:font>
        <x:b/>
        <x:color rgb="FF9A5A00"/>
      </x:font>
      <x:fill>
        <x:patternFill>
          <x:bgColor rgb="FFFFF1CC"/>
        </x:patternFill>
      </x:fill>
    </x:dxf>
    <x:dxf>
      <x:font>
        <x:b/>
        <x:color rgb="FF157347"/>
      </x:font>
      <x:fill>
        <x:patternFill>
          <x:bgColor rgb="FFDFF3E8"/>
        </x:patternFill>
      </x:fill>
    </x:dxf>
    <x:dxf>
      <x:font>
        <x:b/>
        <x:color rgb="FFB42318"/>
      </x:font>
      <x:fill>
        <x:patternFill>
          <x:bgColor rgb="FFFDE7E5"/>
        </x:patternFill>
      </x:fill>
    </x:dxf>
    <x:dxf>
      <x:font>
        <x:b/>
        <x:color rgb="FF157347"/>
      </x:font>
      <x:fill>
        <x:patternFill>
          <x:bgColor rgb="FFDFF3E8"/>
        </x:patternFill>
      </x:fill>
    </x:dxf>
    <x:dxf>
      <x:font>
        <x:b/>
        <x:color rgb="FFB42318"/>
      </x:font>
      <x:fill>
        <x:patternFill>
          <x:bgColor rgb="FFFDE7E5"/>
        </x:patternFill>
      </x:fill>
    </x:dxf>
    <x:dxf>
      <x:font>
        <x:b/>
        <x:color rgb="FF157347"/>
      </x:font>
      <x:fill>
        <x:patternFill>
          <x:bgColor rgb="FFDFF3E8"/>
        </x:patternFill>
      </x:fill>
    </x:dxf>
    <x:dxf>
      <x:font>
        <x:b/>
        <x:color rgb="FFB42318"/>
      </x:font>
      <x:fill>
        <x:patternFill>
          <x:bgColor rgb="FFFDE7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4091ca56dd14159" /><Relationship Type="http://schemas.openxmlformats.org/officeDocument/2006/relationships/theme" Target="/xl/theme/theme1.xml" Id="R28f548ae01b54ea5" /><Relationship Type="http://schemas.openxmlformats.org/officeDocument/2006/relationships/sharedStrings" Target="/xl/sharedStrings.xml" Id="Rdad7cb289e064a47" /><Relationship Type="http://schemas.openxmlformats.org/officeDocument/2006/relationships/worksheet" Target="/xl/worksheets/sheet1.xml" Id="Rdf2804040c294db4" /><Relationship Type="http://schemas.openxmlformats.org/officeDocument/2006/relationships/worksheet" Target="/xl/worksheets/sheet2.xml" Id="R04be9e45ccb14d06" /><Relationship Type="http://schemas.openxmlformats.org/officeDocument/2006/relationships/worksheet" Target="/xl/worksheets/sheet3.xml" Id="R1917f8f1f5c34646" /><Relationship Type="http://schemas.openxmlformats.org/officeDocument/2006/relationships/worksheet" Target="/xl/worksheets/sheet4.xml" Id="Ra3a8a1872a51401f" /><Relationship Type="http://schemas.openxmlformats.org/officeDocument/2006/relationships/worksheet" Target="/xl/worksheets/sheet5.xml" Id="R0496531a64414ea7" /><Relationship Type="http://schemas.openxmlformats.org/officeDocument/2006/relationships/worksheet" Target="/xl/worksheets/sheet6.xml" Id="R01c1d8e759fa484b" /><Relationship Type="http://schemas.openxmlformats.org/officeDocument/2006/relationships/worksheet" Target="/xl/worksheets/sheet7.xml" Id="R2ee3864ab1584e38" /><Relationship Type="http://schemas.openxmlformats.org/officeDocument/2006/relationships/worksheet" Target="/xl/worksheets/sheet8.xml" Id="Re391b33689054e74" /></Relationships>
</file>

<file path=xl/drawings/_rels/drawing1.xml.rels>&#65279;<?xml version="1.0" encoding="utf-8"?><Relationships xmlns="http://schemas.openxmlformats.org/package/2006/relationships"><Relationship Type="http://schemas.openxmlformats.org/officeDocument/2006/relationships/chart" Target="/xl/drawings/charts/chart1.xml" Id="Rbd11b4395b234d4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Transparent procurement score / Hankintapisteet</a:t>
            </a:r>
          </a:p>
        </c:rich>
      </c:tx>
    </c:title>
    <c:plotArea>
      <c:barChart>
        <c:barDir val="col"/>
        <c:varyColors val="0"/>
        <c:ser>
          <c:idx val="0"/>
          <c:order val="0"/>
          <c:tx>
            <c:v>Weighted score</c:v>
          </c:tx>
          <c:cat>
            <c:strRef>
              <c:f>'Decision'!$B$26:$B$36</c:f>
              <c:strCache>
                <c:ptCount val="0"/>
              </c:strCache>
            </c:strRef>
          </c:cat>
          <c:val>
            <c:numRef>
              <c:f>'Decision'!$C$26:$C$36</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sz="525"/>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23</xdr:row>
      <xdr:rowOff>0</xdr:rowOff>
    </xdr:from>
    <xdr:to>
      <xdr:col>16</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d11b4395b234d47"/>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0e1642408d34644"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6" hidden="0" customWidth="1"/>
    <x:col min="3" max="3" width="16"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6" hidden="0" customWidth="1"/>
    <x:col min="14" max="14" width="16" hidden="0" customWidth="1"/>
    <x:col min="15" max="15" width="18" hidden="0" customWidth="1"/>
    <x:col min="16" max="16" width="18" hidden="0" customWidth="1"/>
  </x:cols>
  <x:sheetData>
    <x:row r="1" ht="27" customHeight="1">
      <x:c r="A1" s="5" t="str">
        <x:v>Paid-data procurement decision / Maksullisen datan hankintapäätös</x:v>
      </x:c>
      <x:c r="B1" s="5"/>
      <x:c r="C1" s="5"/>
      <x:c r="D1" s="5"/>
      <x:c r="E1" s="5"/>
      <x:c r="F1" s="5"/>
      <x:c r="G1" s="5"/>
      <x:c r="H1" s="5"/>
      <x:c r="I1" s="5"/>
      <x:c r="J1" s="5"/>
      <x:c r="K1" s="5"/>
      <x:c r="L1" s="5"/>
      <x:c r="M1" s="5"/>
      <x:c r="N1" s="5"/>
      <x:c r="O1" s="5"/>
      <x:c r="P1" s="5"/>
    </x:row>
    <x:row r="2" ht="27" customHeight="1">
      <x:c r="A2" s="5"/>
      <x:c r="B2" s="5"/>
      <x:c r="C2" s="5"/>
      <x:c r="D2" s="5"/>
      <x:c r="E2" s="5"/>
      <x:c r="F2" s="5"/>
      <x:c r="G2" s="5"/>
      <x:c r="H2" s="5"/>
      <x:c r="I2" s="5"/>
      <x:c r="J2" s="5"/>
      <x:c r="K2" s="5"/>
      <x:c r="L2" s="5"/>
      <x:c r="M2" s="5"/>
      <x:c r="N2" s="5"/>
      <x:c r="O2" s="5"/>
      <x:c r="P2" s="5"/>
    </x:row>
    <x:row r="3" ht="28" customHeight="1">
      <x:c r="A3" s="9" t="str">
        <x:v>Independent decision support · No purchase authorised · Version 2026.07.30-36 · Verified 2026-07-30</x:v>
      </x:c>
      <x:c r="B3" s="9"/>
      <x:c r="C3" s="9"/>
      <x:c r="D3" s="9"/>
      <x:c r="E3" s="9"/>
      <x:c r="F3" s="9"/>
      <x:c r="G3" s="9"/>
      <x:c r="H3" s="9"/>
      <x:c r="I3" s="9"/>
      <x:c r="J3" s="9"/>
      <x:c r="K3" s="9"/>
      <x:c r="L3" s="9"/>
      <x:c r="M3" s="9"/>
      <x:c r="N3" s="9"/>
      <x:c r="O3" s="9"/>
      <x:c r="P3" s="9"/>
    </x:row>
    <x:row r="5">
      <x:c r="A5" s="29" t="str">
        <x:v>DECISION STATUS: NO SPEND AUTHORISED
Ask Pixan whether it wants to fund the shortlist, but place no order before every sample, method and licence gate is closed.
PÄÄTÖSTILA: EI OSTOVALTUUTTA. Pixanilta voidaan pyytää rahoituspäätös, mutta tilausta ei tehdä ennen kaikkien näyte-, menetelmä- ja lisenssiporttien sulkemista.</x:v>
      </x:c>
      <x:c r="B5" s="30"/>
      <x:c r="C5" s="30"/>
      <x:c r="D5" s="30"/>
      <x:c r="E5" s="30"/>
      <x:c r="F5" s="30"/>
      <x:c r="G5" s="30"/>
      <x:c r="H5" s="30"/>
      <x:c r="I5" s="30"/>
      <x:c r="J5" s="30"/>
      <x:c r="K5" s="30"/>
      <x:c r="L5" s="30"/>
      <x:c r="M5" s="30"/>
      <x:c r="N5" s="30"/>
      <x:c r="O5" s="30"/>
      <x:c r="P5" s="31"/>
    </x:row>
    <x:row r="6">
      <x:c r="A6" s="32"/>
      <x:c r="B6" s="33"/>
      <x:c r="C6" s="33"/>
      <x:c r="D6" s="33"/>
      <x:c r="E6" s="33"/>
      <x:c r="F6" s="33"/>
      <x:c r="G6" s="33"/>
      <x:c r="H6" s="33"/>
      <x:c r="I6" s="33"/>
      <x:c r="J6" s="33"/>
      <x:c r="K6" s="33"/>
      <x:c r="L6" s="33"/>
      <x:c r="M6" s="33"/>
      <x:c r="N6" s="33"/>
      <x:c r="O6" s="33"/>
      <x:c r="P6" s="34"/>
    </x:row>
    <x:row r="7">
      <x:c r="A7" s="35"/>
      <x:c r="B7" s="36"/>
      <x:c r="C7" s="36"/>
      <x:c r="D7" s="36"/>
      <x:c r="E7" s="36"/>
      <x:c r="F7" s="36"/>
      <x:c r="G7" s="36"/>
      <x:c r="H7" s="36"/>
      <x:c r="I7" s="36"/>
      <x:c r="J7" s="36"/>
      <x:c r="K7" s="36"/>
      <x:c r="L7" s="36"/>
      <x:c r="M7" s="36"/>
      <x:c r="N7" s="36"/>
      <x:c r="O7" s="36"/>
      <x:c r="P7" s="37"/>
    </x:row>
    <x:row r="9">
      <x:c r="A9" s="39" t="str">
        <x:v>Recommended decision / Suositeltu päätös</x:v>
      </x:c>
      <x:c r="B9" s="39"/>
      <x:c r="C9" s="39"/>
      <x:c r="D9" s="39"/>
      <x:c r="E9" s="39"/>
      <x:c r="F9" s="39"/>
      <x:c r="G9" s="39"/>
      <x:c r="H9" s="39"/>
      <x:c r="I9" s="39"/>
      <x:c r="J9" s="39"/>
      <x:c r="K9" s="39"/>
      <x:c r="L9" s="39"/>
      <x:c r="M9" s="39"/>
      <x:c r="N9" s="39"/>
      <x:c r="O9" s="39"/>
      <x:c r="P9" s="39"/>
    </x:row>
    <x:row r="10">
      <x:c r="A10" s="59" t="str">
        <x:v>1) Continue sample and transaction-rights evaluation with ECigIntelligence and Euromonitor in parallel. 2) Do not activate the conditional Germany extract or buy before explicit purchase authority, a populated current 2022–2025 Germany test, reconciled 78/95 country-product-field-year coverage, record-level status flags, a legally approved NDA data-room Special Condition and complete all-in commercial terms pass review. 3) Consider a tightly scoped NIQ/Circana POS pilot only as a later validation layer for selected countries.
FI: 1) Jatka ECigIntelligencen ja Euromonitorin näyte- ja transaktio-oikeuksien arviointia rinnakkain. 2) Älä aktivoi ehdollista Saksa-otetta tai osta ennen nimenomaista ostovaltuutusta, täytettyä ajantasaista Saksan 2022–2025-testiä, täsmäytettyä 78/95 maan maa–tuote–kenttä–vuosi-peittoa, tietuetason tilamerkinnät, legal-tiimin hyväksymä NDA-datahuone-erityisehto ja täydelliset kaikki kustannukset kattavat kaupalliset ehdot läpäisevät tarkistuksen. 3) Harkitse rajattua NIQ/Circana-POS-pilottia vasta myöhempänä varmennuskerroksena valituille maille.</x:v>
      </x:c>
      <x:c r="B10" s="60"/>
      <x:c r="C10" s="60"/>
      <x:c r="D10" s="60"/>
      <x:c r="E10" s="60"/>
      <x:c r="F10" s="60"/>
      <x:c r="G10" s="60"/>
      <x:c r="H10" s="60"/>
      <x:c r="I10" s="60"/>
      <x:c r="J10" s="60"/>
      <x:c r="K10" s="60"/>
      <x:c r="L10" s="60"/>
      <x:c r="M10" s="60"/>
      <x:c r="N10" s="60"/>
      <x:c r="O10" s="60"/>
      <x:c r="P10" s="61"/>
    </x:row>
    <x:row r="11">
      <x:c r="A11" s="62"/>
      <x:c r="B11" s="63"/>
      <x:c r="C11" s="63"/>
      <x:c r="D11" s="63"/>
      <x:c r="E11" s="63"/>
      <x:c r="F11" s="63"/>
      <x:c r="G11" s="63"/>
      <x:c r="H11" s="63"/>
      <x:c r="I11" s="63"/>
      <x:c r="J11" s="63"/>
      <x:c r="K11" s="63"/>
      <x:c r="L11" s="63"/>
      <x:c r="M11" s="63"/>
      <x:c r="N11" s="63"/>
      <x:c r="O11" s="63"/>
      <x:c r="P11" s="64"/>
    </x:row>
    <x:row r="12">
      <x:c r="A12" s="62"/>
      <x:c r="B12" s="63"/>
      <x:c r="C12" s="63"/>
      <x:c r="D12" s="63"/>
      <x:c r="E12" s="63"/>
      <x:c r="F12" s="63"/>
      <x:c r="G12" s="63"/>
      <x:c r="H12" s="63"/>
      <x:c r="I12" s="63"/>
      <x:c r="J12" s="63"/>
      <x:c r="K12" s="63"/>
      <x:c r="L12" s="63"/>
      <x:c r="M12" s="63"/>
      <x:c r="N12" s="63"/>
      <x:c r="O12" s="63"/>
      <x:c r="P12" s="64"/>
    </x:row>
    <x:row r="13">
      <x:c r="A13" s="65"/>
      <x:c r="B13" s="66"/>
      <x:c r="C13" s="66"/>
      <x:c r="D13" s="66"/>
      <x:c r="E13" s="66"/>
      <x:c r="F13" s="66"/>
      <x:c r="G13" s="66"/>
      <x:c r="H13" s="66"/>
      <x:c r="I13" s="66"/>
      <x:c r="J13" s="66"/>
      <x:c r="K13" s="66"/>
      <x:c r="L13" s="66"/>
      <x:c r="M13" s="66"/>
      <x:c r="N13" s="66"/>
      <x:c r="O13" s="66"/>
      <x:c r="P13" s="67"/>
    </x:row>
    <x:row r="15">
      <x:c r="A15" s="69" t="str">
        <x:v>Transparent score weights / Läpinäkyvät painot</x:v>
      </x:c>
      <x:c r="B15" s="69"/>
      <x:c r="D15" s="69" t="str">
        <x:v>Three procurement packages / Kolme hankintapakettia</x:v>
      </x:c>
      <x:c r="E15" s="69"/>
      <x:c r="F15" s="69"/>
      <x:c r="G15" s="69"/>
      <x:c r="H15" s="69"/>
      <x:c r="I15" s="69"/>
      <x:c r="J15" s="69"/>
      <x:c r="K15" s="69"/>
      <x:c r="L15" s="69"/>
      <x:c r="M15" s="69"/>
      <x:c r="N15" s="69"/>
      <x:c r="O15" s="69"/>
      <x:c r="P15" s="69"/>
    </x:row>
    <x:row r="16" ht="72" customHeight="1">
      <x:c r="A16" s="74" t="str">
        <x:v>Criterion / Kriteeri</x:v>
      </x:c>
      <x:c r="B16" s="74" t="str">
        <x:v>Weight / Paino</x:v>
      </x:c>
      <x:c r="D16" s="89" t="str">
        <x:v>Minimum evidence upgrade
Vähimmäispäivitys</x:v>
      </x:c>
      <x:c r="E16" s="89"/>
      <x:c r="F16" s="89"/>
      <x:c r="G16" s="88" t="str">
        <x:v>ECigIntelligence Global Market Database only, if the sample, method and transaction-use licence pass.
FI: Vain ECigIntelligence Global Market Database, jos näyte, menetelmä ja transaktiokäyttölisenssi läpäisevät ehdot.</x:v>
      </x:c>
      <x:c r="H16" s="88"/>
      <x:c r="I16" s="88"/>
      <x:c r="J16" s="88"/>
      <x:c r="K16" s="88"/>
      <x:c r="L16" s="88"/>
      <x:c r="M16" s="88" t="str">
        <x:v>USD 3,995</x:v>
      </x:c>
      <x:c r="N16" s="88"/>
      <x:c r="O16" s="88" t="str">
        <x:v>Possible VAT, users and licence extension.
FI: Mahdollinen arvonlisävero, käyttäjät ja lisenssilaajennus.</x:v>
      </x:c>
      <x:c r="P16" s="88"/>
    </x:row>
    <x:row r="17" ht="72" customHeight="1">
      <x:c r="A17" s="80" t="str">
        <x:v>Annual sales-series fit / Sopivuus vuosittaiseen myyntisarjaan</x:v>
      </x:c>
      <x:c r="B17" s="82" t="n">
        <x:v>0.3</x:v>
      </x:c>
      <x:c r="D17" s="95" t="str">
        <x:v>Recommended lender-grade package
Suositeltu rahoittajatason paketti</x:v>
      </x:c>
      <x:c r="E17" s="95"/>
      <x:c r="F17" s="95"/>
      <x:c r="G17" s="94" t="str">
        <x:v>Choose one global master: ECigIntelligence or Euromonitor Passport Nicotine; add a tightly scoped NIQ/Circana POS pilot for Germany, the United States and the United Kingdom.
FI: Valitse yksi globaali pääaineisto: ECigIntelligence tai Euromonitor Passport Nicotine; lisää rajattu NIQ/Circana-POS-pilotti Saksaan, Yhdysvaltoihin ja Britanniaan.</x:v>
      </x:c>
      <x:c r="H17" s="94"/>
      <x:c r="I17" s="94"/>
      <x:c r="J17" s="94"/>
      <x:c r="K17" s="94"/>
      <x:c r="L17" s="94"/>
      <x:c r="M17" s="94" t="str">
        <x:v>USD 3,995 or private indicative Euromonitor quote + POS quote</x:v>
      </x:c>
      <x:c r="N17" s="94"/>
      <x:c r="O17" s="94" t="str">
        <x:v>Final Euromonitor scope, VAT, exact country list, exports, Pixan onward sharing and transaction rights; POS price.
FI: Euromonitorin lopullinen laajuus, ALV, täsmällinen maalista, viennit, Pixanin edelleenjakelu ja transaktio-oikeudet; POS-hinta.</x:v>
      </x:c>
      <x:c r="P17" s="94"/>
    </x:row>
    <x:row r="18" ht="72" customHeight="1">
      <x:c r="A18" s="81" t="str">
        <x:v>Vape specificity / Vape-spesifisyys</x:v>
      </x:c>
      <x:c r="B18" s="83" t="n">
        <x:v>0.2</x:v>
      </x:c>
      <x:c r="D18" s="89" t="str">
        <x:v>Full diligence package
Täysi due diligence -paketti</x:v>
      </x:c>
      <x:c r="E18" s="89"/>
      <x:c r="F18" s="89"/>
      <x:c r="G18" s="88" t="str">
        <x:v>Recommended package plus a regulatory database, selected consumer-panel validation and a one-off patent-litigation search.
FI: Suositeltu paketti sekä sääntelytietokanta, valikoitu kuluttajapaneelivarmennus ja kertaluonteinen patenttioikeudenkäyntihaku.</x:v>
      </x:c>
      <x:c r="H18" s="88"/>
      <x:c r="I18" s="88"/>
      <x:c r="J18" s="88"/>
      <x:c r="K18" s="88"/>
      <x:c r="L18" s="88"/>
      <x:c r="M18" s="88" t="str">
        <x:v>Known components from USD 7,990 + vendor quotes</x:v>
      </x:c>
      <x:c r="N18" s="88"/>
      <x:c r="O18" s="88" t="str">
        <x:v>POS, consumer panel, IP search, users and licence extensions.
FI: POS, kuluttajapaneeli, IP-haku, käyttäjät ja lisenssilaajennukset.</x:v>
      </x:c>
      <x:c r="P18" s="88"/>
    </x:row>
    <x:row r="19">
      <x:c r="A19" s="81" t="str">
        <x:v>Country coverage / Maapeitto</x:v>
      </x:c>
      <x:c r="B19" s="83" t="n">
        <x:v>0.2</x:v>
      </x:c>
    </x:row>
    <x:row r="20">
      <x:c r="A20" s="81" t="str">
        <x:v>Method transparency / Menetelmän läpinäkyvyys</x:v>
      </x:c>
      <x:c r="B20" s="83" t="n">
        <x:v>0.15</x:v>
      </x:c>
    </x:row>
    <x:row r="21">
      <x:c r="A21" s="81" t="str">
        <x:v>Transaction-licence fit / Transaktiolisenssin sopivuus</x:v>
      </x:c>
      <x:c r="B21" s="83" t="n">
        <x:v>0.1</x:v>
      </x:c>
    </x:row>
    <x:row r="22">
      <x:c r="A22" s="81" t="str">
        <x:v>Cost certainty / Kustannusvarmuus</x:v>
      </x:c>
      <x:c r="B22" s="83" t="n">
        <x:v>0.05</x:v>
      </x:c>
    </x:row>
    <x:row r="25">
      <x:c r="A25" s="74" t="str">
        <x:v>Rank</x:v>
      </x:c>
      <x:c r="B25" s="74" t="str">
        <x:v>Vendor / Product</x:v>
      </x:c>
      <x:c r="C25" s="74" t="str">
        <x:v>Weighted score</x:v>
      </x:c>
    </x:row>
    <x:row r="26">
      <x:c r="A26" s="80" t="n">
        <x:v>1</x:v>
      </x:c>
      <x:c r="B26" s="80" t="str">
        <x:v>ECigIntelligence — Global Market Database</x:v>
      </x:c>
      <x:c r="C26" s="96" t="n">
        <x:v>3.8</x:v>
      </x:c>
    </x:row>
    <x:row r="27">
      <x:c r="A27" s="81" t="n">
        <x:v>2</x:v>
      </x:c>
      <x:c r="B27" s="81" t="str">
        <x:v>Euromonitor International — Passport Nicotine / e-vapour country series</x:v>
      </x:c>
      <x:c r="C27" s="97" t="n">
        <x:v>3.8</x:v>
      </x:c>
    </x:row>
    <x:row r="28">
      <x:c r="A28" s="81" t="n">
        <x:v>3</x:v>
      </x:c>
      <x:c r="B28" s="81" t="str">
        <x:v>NielsenIQ — Retail Measurement Services pilot</x:v>
      </x:c>
      <x:c r="C28" s="97" t="n">
        <x:v>3.05</x:v>
      </x:c>
    </x:row>
    <x:row r="29">
      <x:c r="A29" s="81" t="n">
        <x:v>4</x:v>
      </x:c>
      <x:c r="B29" s="81" t="str">
        <x:v>Circana — US Tobacco POS pilot</x:v>
      </x:c>
      <x:c r="C29" s="97" t="n">
        <x:v>3.35</x:v>
      </x:c>
    </x:row>
    <x:row r="30">
      <x:c r="A30" s="81" t="n">
        <x:v>5</x:v>
      </x:c>
      <x:c r="B30" s="81" t="str">
        <x:v>ECigIntelligence — Global Regulatory Database or Policy Radar</x:v>
      </x:c>
      <x:c r="C30" s="97" t="n">
        <x:v>3.25</x:v>
      </x:c>
    </x:row>
    <x:row r="31">
      <x:c r="A31" s="81" t="n">
        <x:v>6</x:v>
      </x:c>
      <x:c r="B31" s="81" t="str">
        <x:v>Statista — Tobacco Products: market data &amp; analysis</x:v>
      </x:c>
      <x:c r="C31" s="97" t="n">
        <x:v>3</x:v>
      </x:c>
    </x:row>
    <x:row r="32">
      <x:c r="A32" s="81" t="n">
        <x:v>7</x:v>
      </x:c>
      <x:c r="B32" s="81" t="str">
        <x:v>YouGov or GWI — Profiles / Core consumer panel</x:v>
      </x:c>
      <x:c r="C32" s="97" t="n">
        <x:v>2.5</x:v>
      </x:c>
    </x:row>
    <x:row r="33">
      <x:c r="A33" s="81" t="n">
        <x:v>8</x:v>
      </x:c>
      <x:c r="B33" s="81" t="str">
        <x:v>S&amp;P Global Market Intelligence — Panjiva Supply Chain Intelligence</x:v>
      </x:c>
      <x:c r="C33" s="97" t="n">
        <x:v>2.45</x:v>
      </x:c>
    </x:row>
    <x:row r="34">
      <x:c r="A34" s="81" t="n">
        <x:v>9</x:v>
      </x:c>
      <x:c r="B34" s="81" t="str">
        <x:v>Similarweb — Retail / Digital Research Intelligence</x:v>
      </x:c>
      <x:c r="C34" s="97" t="n">
        <x:v>1.95</x:v>
      </x:c>
    </x:row>
    <x:row r="35">
      <x:c r="A35" s="81" t="n">
        <x:v>10</x:v>
      </x:c>
      <x:c r="B35" s="81" t="str">
        <x:v>Clarivate — Darts-ip / Litigation Intelligence one-off search</x:v>
      </x:c>
      <x:c r="C35" s="97" t="n">
        <x:v>2.25</x:v>
      </x:c>
    </x:row>
    <x:row r="36">
      <x:c r="A36" s="81" t="n">
        <x:v>11</x:v>
      </x:c>
      <x:c r="B36" s="81" t="str">
        <x:v>Moody's Orbis or S&amp;P Capital IQ — Company, ownership and financial data</x:v>
      </x:c>
      <x:c r="C36" s="97" t="n">
        <x:v>2.3</x:v>
      </x:c>
    </x:row>
    <x:row r="38" ht="34" customHeight="1">
      <x:c r="A38" s="112" t="str">
        <x:v>The score compares evidence utility, not vendor integrity or objective data accuracy. Procurement rank also reflects sequence, duplication and known price.
Piste vertailee evidenssihyötyä, ei toimittajan luotettavuutta tai objektiivista datan oikeellisuutta. Hankintajärjestys huomioi myös ajoituksen, päällekkäisyyden ja tunnetun hinnan.</x:v>
      </x:c>
      <x:c r="B38" s="113"/>
      <x:c r="C38" s="114"/>
    </x:row>
    <x:row r="39" ht="34" customHeight="1">
      <x:c r="A39" s="115"/>
      <x:c r="B39" s="116"/>
      <x:c r="C39" s="117"/>
    </x:row>
  </x:sheetData>
  <x:mergeCells>
    <x:mergeCell ref="A1:P2"/>
    <x:mergeCell ref="A3:P3"/>
    <x:mergeCell ref="A5:P7"/>
    <x:mergeCell ref="A9:P9"/>
    <x:mergeCell ref="A10:P13"/>
    <x:mergeCell ref="A15:B15"/>
    <x:mergeCell ref="D15:P15"/>
    <x:mergeCell ref="D16:F16"/>
    <x:mergeCell ref="G16:L16"/>
    <x:mergeCell ref="M16:N16"/>
    <x:mergeCell ref="O16:P16"/>
    <x:mergeCell ref="D17:F17"/>
    <x:mergeCell ref="G17:L17"/>
    <x:mergeCell ref="M17:N17"/>
    <x:mergeCell ref="O17:P17"/>
    <x:mergeCell ref="D18:F18"/>
    <x:mergeCell ref="G18:L18"/>
    <x:mergeCell ref="M18:N18"/>
    <x:mergeCell ref="O18:P18"/>
    <x:mergeCell ref="A38:C39"/>
  </x:mergeCells>
  <x:pageMargins left="0.7" right="0.7" top="0.75" bottom="0.75" header="0.3" footer="0.3"/>
  <x:drawing xmlns:r="http://schemas.openxmlformats.org/officeDocument/2006/relationships" r:id="R90e1642408d34644"/>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9" hidden="0" customWidth="1"/>
    <x:col min="3" max="3" width="25" hidden="0" customWidth="1"/>
    <x:col min="4" max="4" width="33" hidden="0" customWidth="1"/>
    <x:col min="5" max="5" width="24" hidden="0" customWidth="1"/>
    <x:col min="6" max="6" width="25" hidden="0" customWidth="1"/>
    <x:col min="7" max="7" width="70" hidden="0" customWidth="1"/>
    <x:col min="8" max="8" width="12" hidden="0" customWidth="1"/>
    <x:col min="9" max="9" width="9" hidden="0" customWidth="1"/>
    <x:col min="10" max="10" width="11" hidden="0" customWidth="1"/>
    <x:col min="11" max="11" width="10" hidden="0" customWidth="1"/>
    <x:col min="12" max="12" width="11" hidden="0" customWidth="1"/>
    <x:col min="13" max="13" width="9" hidden="0" customWidth="1"/>
    <x:col min="14" max="14" width="14" hidden="0" customWidth="1"/>
    <x:col min="15" max="15" width="28" hidden="0" customWidth="1"/>
    <x:col min="16" max="16" width="48" hidden="0" customWidth="1"/>
  </x:cols>
  <x:sheetData>
    <x:row r="1" ht="27" customHeight="1">
      <x:c r="A1" s="5" t="str">
        <x:v>Prioritised paid-data shortlist / Maksullisen datan tärkeysjärjestys</x:v>
      </x:c>
      <x:c r="B1" s="5"/>
      <x:c r="C1" s="5"/>
      <x:c r="D1" s="5"/>
      <x:c r="E1" s="5"/>
      <x:c r="F1" s="5"/>
      <x:c r="G1" s="5"/>
      <x:c r="H1" s="5"/>
      <x:c r="I1" s="5"/>
      <x:c r="J1" s="5"/>
      <x:c r="K1" s="5"/>
      <x:c r="L1" s="5"/>
      <x:c r="M1" s="5"/>
      <x:c r="N1" s="5"/>
      <x:c r="O1" s="5"/>
      <x:c r="P1" s="5"/>
    </x:row>
    <x:row r="2" ht="27" customHeight="1">
      <x:c r="A2" s="5"/>
      <x:c r="B2" s="5"/>
      <x:c r="C2" s="5"/>
      <x:c r="D2" s="5"/>
      <x:c r="E2" s="5"/>
      <x:c r="F2" s="5"/>
      <x:c r="G2" s="5"/>
      <x:c r="H2" s="5"/>
      <x:c r="I2" s="5"/>
      <x:c r="J2" s="5"/>
      <x:c r="K2" s="5"/>
      <x:c r="L2" s="5"/>
      <x:c r="M2" s="5"/>
      <x:c r="N2" s="5"/>
      <x:c r="O2" s="5"/>
      <x:c r="P2" s="5"/>
    </x:row>
    <x:row r="3" ht="28" customHeight="1">
      <x:c r="A3" s="9" t="str">
        <x:v>Rank closes the annual country-market-series gap first. A formula exposes every score input; no score authorises a purchase.</x:v>
      </x:c>
      <x:c r="B3" s="9"/>
      <x:c r="C3" s="9"/>
      <x:c r="D3" s="9"/>
      <x:c r="E3" s="9"/>
      <x:c r="F3" s="9"/>
      <x:c r="G3" s="9"/>
      <x:c r="H3" s="9"/>
      <x:c r="I3" s="9"/>
      <x:c r="J3" s="9"/>
      <x:c r="K3" s="9"/>
      <x:c r="L3" s="9"/>
      <x:c r="M3" s="9"/>
      <x:c r="N3" s="9"/>
      <x:c r="O3" s="9"/>
      <x:c r="P3" s="9"/>
    </x:row>
    <x:row r="5">
      <x:c r="A5" s="74" t="str">
        <x:v>Rank</x:v>
      </x:c>
      <x:c r="B5" s="74" t="str">
        <x:v>Priority</x:v>
      </x:c>
      <x:c r="C5" s="74" t="str">
        <x:v>Vendor</x:v>
      </x:c>
      <x:c r="D5" s="74" t="str">
        <x:v>Product</x:v>
      </x:c>
      <x:c r="E5" s="74" t="str">
        <x:v>Tier</x:v>
      </x:c>
      <x:c r="F5" s="74" t="str">
        <x:v>Price</x:v>
      </x:c>
      <x:c r="G5" s="74" t="str">
        <x:v>Decision / Päätös</x:v>
      </x:c>
      <x:c r="H5" s="74" t="str">
        <x:v>Annual series</x:v>
      </x:c>
      <x:c r="I5" s="74" t="str">
        <x:v>Vape</x:v>
      </x:c>
      <x:c r="J5" s="74" t="str">
        <x:v>Countries</x:v>
      </x:c>
      <x:c r="K5" s="74" t="str">
        <x:v>Method</x:v>
      </x:c>
      <x:c r="L5" s="74" t="str">
        <x:v>Licence</x:v>
      </x:c>
      <x:c r="M5" s="74" t="str">
        <x:v>Cost</x:v>
      </x:c>
      <x:c r="N5" s="74" t="str">
        <x:v>Weighted score</x:v>
      </x:c>
      <x:c r="O5" s="74" t="str">
        <x:v>Alternative group</x:v>
      </x:c>
      <x:c r="P5" s="74" t="str">
        <x:v>Source</x:v>
      </x:c>
    </x:row>
    <x:row r="6" ht="78" customHeight="1">
      <x:c r="A6" s="126" t="n">
        <x:v>1</x:v>
      </x:c>
      <x:c r="B6" s="126" t="str">
        <x:v>1A</x:v>
      </x:c>
      <x:c r="C6" s="127" t="str">
        <x:v>ECigIntelligence</x:v>
      </x:c>
      <x:c r="D6" s="127" t="str">
        <x:v>Global Market Database</x:v>
      </x:c>
      <x:c r="E6" s="127" t="str">
        <x:v>core_global_choose_one</x:v>
      </x:c>
      <x:c r="F6" s="127" t="str">
        <x:v>USD 3,995</x:v>
      </x:c>
      <x:c r="G6" s="127" t="str">
        <x:v>Ask Pixan to approve only after receiving the sample workbook, data dictionary and written lender/M&amp;A data-room rights.
FI: Pyydä Pixanilta hyväksyntä vasta näytetyökirjan, data dictionaryn ja kirjallisten rahoittaja-/M&amp;A-datahuoneoikeuksien jälkeen.</x:v>
      </x:c>
      <x:c r="H6" s="128" t="n">
        <x:v>4</x:v>
      </x:c>
      <x:c r="I6" s="128" t="n">
        <x:v>5</x:v>
      </x:c>
      <x:c r="J6" s="128" t="n">
        <x:v>4</x:v>
      </x:c>
      <x:c r="K6" s="128" t="n">
        <x:v>3</x:v>
      </x:c>
      <x:c r="L6" s="128" t="n">
        <x:v>1</x:v>
      </x:c>
      <x:c r="M6" s="128" t="n">
        <x:v>5</x:v>
      </x:c>
      <x:c r="N6" s="129" t="n">
        <x:f>ROUND(H6*Decision!$B$17+I6*Decision!$B$18+J6*Decision!$B$19+K6*Decision!$B$20+L6*Decision!$B$21+M6*Decision!$B$22,2)</x:f>
        <x:v>3.8</x:v>
      </x:c>
      <x:c r="O6" s="127" t="str">
        <x:v>global_master_choose_one</x:v>
      </x:c>
      <x:c r="P6" s="130" t="str">
        <x:v>https://ecigintelligence.com/product-category/premium-data-bundles/</x:v>
      </x:c>
    </x:row>
    <x:row r="7" ht="270" customHeight="1">
      <x:c r="A7" s="131" t="n">
        <x:v>2</x:v>
      </x:c>
      <x:c r="B7" s="131" t="str">
        <x:v>1B</x:v>
      </x:c>
      <x:c r="C7" s="132" t="str">
        <x:v>Euromonitor International</x:v>
      </x:c>
      <x:c r="D7" s="132" t="str">
        <x:v>Passport Nicotine / e-vapour country series</x:v>
      </x:c>
      <x:c r="E7" s="132" t="str">
        <x:v>core_global_choose_one</x:v>
      </x:c>
      <x:c r="F7" s="132" t="str">
        <x:v>Private indicative annual quotes received</x:v>
      </x:c>
      <x:c r="G7" s="132" t="str">
        <x:v>Continue evaluation, but do not activate the conditional Germany extract or buy before explicit purchase authority and a populated current 2022–2025 Germany test, reconciled 78/95 country-product-field-year coverage, category-specific method and record-status flags, a legally approved Pixan/NDA data-room Special Condition, and complete all-in commercial terms are confirmed. Buy at most one global master unless non-overlap is demonstrated.
The expanded Germany sample permits a private 2023–2024 numerical liquid-volume comparison, but the product scope, retail-versus-tax stage and record-status bridge remain unresolved and the later 95-geography schema workbook has blank country-year value cells. A conditional paid Germany extract was offered on 2026-07-29; it has not been accepted or activated. End-consumer tax basis, restricted enterprise-AI processing and modelled Cyprus volume were clarified; NDA data-room rights, export and retention rights, taxes, fees and renewal terms remain open. No licensed values or private quote amounts are published.
FI: Jatka arviointia, mutta älä aktivoi ehdollista Saksa-otetta tai osta ennen nimenomaista ostovaltuutusta ja ennen kuin täytetty ajantasainen Saksan 2022–2025-testi, täsmäytetty 78/95 maan maa–tuote–kenttä–vuosi-peitto, kategoriakohtainen menetelmä ja tietueiden tilamerkinnät, legal-tiimin hyväksymä Pixan-/NDA-datahuone-erityisehto sekä täydelliset kaikki kustannukset kattavat kaupalliset ehdot on vahvistettu. Osta enintään yksi globaali pääaineisto, ellei päällekkäisyyden puuttumista osoiteta.
Laajennettu Saksa-näyte mahdollistaa yksityisen vuosien 2023–2024 numeerisen nestemäärävertailun, mutta tuoterajaus, vähittäis- ja verovaiheen ero sekä tietueiden tilasilta ovat ratkaisematta ja myöhemmän 95 maantieteen skeematyökirjan maa–vuosi-arvosolut ovat tyhjiä. Ehdollinen maksullinen Saksa-ote tarjottiin 29.7.2026; sitä ei ole hyväksytty tai aktivoitu. Loppuasiakasmyynnin veroperusta, rajattu yritystason tekoälykäsittely ja mallinnettu Kyproksen volyymi täsmennettiin; NDA-datahuoneoikeudet, vienti- ja säilytysoikeudet, verot, maksut ja uusimisehdot ovat avoinna. Lisensoituja arvoja tai yksityisiä tarjoushintoja ei julkaista.</x:v>
      </x:c>
      <x:c r="H7" s="133" t="n">
        <x:v>4</x:v>
      </x:c>
      <x:c r="I7" s="133" t="n">
        <x:v>4</x:v>
      </x:c>
      <x:c r="J7" s="133" t="n">
        <x:v>5</x:v>
      </x:c>
      <x:c r="K7" s="133" t="n">
        <x:v>4</x:v>
      </x:c>
      <x:c r="L7" s="133" t="n">
        <x:v>1</x:v>
      </x:c>
      <x:c r="M7" s="133" t="n">
        <x:v>2</x:v>
      </x:c>
      <x:c r="N7" s="134" t="n">
        <x:f>ROUND(H7*Decision!$B$17+I7*Decision!$B$18+J7*Decision!$B$19+K7*Decision!$B$20+L7*Decision!$B$21+M7*Decision!$B$22,2)</x:f>
        <x:v>3.8</x:v>
      </x:c>
      <x:c r="O7" s="132" t="str">
        <x:v>global_master_choose_one</x:v>
      </x:c>
      <x:c r="P7" s="135" t="str">
        <x:v>https://www.euromonitor.com/smokeless-tobacco-e-vapour-products-and-heated-tobacco-in-denmark/report</x:v>
      </x:c>
    </x:row>
    <x:row r="8" ht="78" customHeight="1">
      <x:c r="A8" s="136" t="n">
        <x:v>3</x:v>
      </x:c>
      <x:c r="B8" s="136" t="str">
        <x:v>2A</x:v>
      </x:c>
      <x:c r="C8" s="137" t="str">
        <x:v>NielsenIQ</x:v>
      </x:c>
      <x:c r="D8" s="137" t="str">
        <x:v>Retail Measurement Services pilot</x:v>
      </x:c>
      <x:c r="E8" s="137" t="str">
        <x:v>validation</x:v>
      </x:c>
      <x:c r="F8" s="137" t="str">
        <x:v>Quote</x:v>
      </x:c>
      <x:c r="G8" s="137" t="str">
        <x:v>Buy only as a validation layer after the chosen global master sample identifies the exact gaps.
FI: Osta vain varmennuskerrokseksi sen jälkeen, kun valitun globaalin pääaineiston näyte osoittaa täsmälliset puutteet.</x:v>
      </x:c>
      <x:c r="H8" s="138" t="n">
        <x:v>4</x:v>
      </x:c>
      <x:c r="I8" s="138" t="n">
        <x:v>3</x:v>
      </x:c>
      <x:c r="J8" s="138" t="n">
        <x:v>2</x:v>
      </x:c>
      <x:c r="K8" s="138" t="n">
        <x:v>4</x:v>
      </x:c>
      <x:c r="L8" s="138" t="n">
        <x:v>2</x:v>
      </x:c>
      <x:c r="M8" s="138" t="n">
        <x:v>1</x:v>
      </x:c>
      <x:c r="N8" s="139" t="n">
        <x:f>ROUND(H8*Decision!$B$17+I8*Decision!$B$18+J8*Decision!$B$19+K8*Decision!$B$20+L8*Decision!$B$21+M8*Decision!$B$22,2)</x:f>
        <x:v>3.05</x:v>
      </x:c>
      <x:c r="O8" s="137" t="str">
        <x:v>pos_validation</x:v>
      </x:c>
      <x:c r="P8" s="140" t="str">
        <x:v>https://nielseniq.com/global/en/products/retail-measurement-services-rms/</x:v>
      </x:c>
    </x:row>
    <x:row r="9" ht="78" customHeight="1">
      <x:c r="A9" s="136" t="n">
        <x:v>4</x:v>
      </x:c>
      <x:c r="B9" s="136" t="str">
        <x:v>2B</x:v>
      </x:c>
      <x:c r="C9" s="137" t="str">
        <x:v>Circana</x:v>
      </x:c>
      <x:c r="D9" s="137" t="str">
        <x:v>US Tobacco POS pilot</x:v>
      </x:c>
      <x:c r="E9" s="137" t="str">
        <x:v>validation</x:v>
      </x:c>
      <x:c r="F9" s="137" t="str">
        <x:v>Quote</x:v>
      </x:c>
      <x:c r="G9" s="137" t="str">
        <x:v>Use for the US if NIQ cannot demonstrate equivalent vape coverage or if the US becomes a central value driver.
FI: Käytä Yhdysvaltoihin, jos NIQ ei osoita vastaavaa vape-peittoa tai jos USA:sta tulee keskeinen arvon ajuri.</x:v>
      </x:c>
      <x:c r="H9" s="138" t="n">
        <x:v>5</x:v>
      </x:c>
      <x:c r="I9" s="138" t="n">
        <x:v>4</x:v>
      </x:c>
      <x:c r="J9" s="138" t="n">
        <x:v>1</x:v>
      </x:c>
      <x:c r="K9" s="138" t="n">
        <x:v>4</x:v>
      </x:c>
      <x:c r="L9" s="138" t="n">
        <x:v>2</x:v>
      </x:c>
      <x:c r="M9" s="138" t="n">
        <x:v>1</x:v>
      </x:c>
      <x:c r="N9" s="139" t="n">
        <x:f>ROUND(H9*Decision!$B$17+I9*Decision!$B$18+J9*Decision!$B$19+K9*Decision!$B$20+L9*Decision!$B$21+M9*Decision!$B$22,2)</x:f>
        <x:v>3.35</x:v>
      </x:c>
      <x:c r="O9" s="137" t="str">
        <x:v>pos_validation</x:v>
      </x:c>
      <x:c r="P9" s="140" t="str">
        <x:v>https://www.circana.com/industries/tobacco</x:v>
      </x:c>
    </x:row>
    <x:row r="10" ht="78" customHeight="1">
      <x:c r="A10" s="141" t="n">
        <x:v>5</x:v>
      </x:c>
      <x:c r="B10" s="141" t="str">
        <x:v>3</x:v>
      </x:c>
      <x:c r="C10" s="142" t="str">
        <x:v>ECigIntelligence</x:v>
      </x:c>
      <x:c r="D10" s="142" t="str">
        <x:v>Global Regulatory Database or Policy Radar</x:v>
      </x:c>
      <x:c r="E10" s="142" t="str">
        <x:v>risk_adjustment</x:v>
      </x:c>
      <x:c r="F10" s="142" t="str">
        <x:v>USD 3,995 each</x:v>
      </x:c>
      <x:c r="G10" s="142" t="str">
        <x:v>Buy only after checking whether adequate regulatory data is bundled with the chosen market-data subscription.
FI: Osta vasta tarkistettuasi, sisältyykö riittävä sääntelydata valittuun markkinadatatilaukseen.</x:v>
      </x:c>
      <x:c r="H10" s="143" t="n">
        <x:v>1</x:v>
      </x:c>
      <x:c r="I10" s="143" t="n">
        <x:v>5</x:v>
      </x:c>
      <x:c r="J10" s="143" t="n">
        <x:v>5</x:v>
      </x:c>
      <x:c r="K10" s="143" t="n">
        <x:v>4</x:v>
      </x:c>
      <x:c r="L10" s="143" t="n">
        <x:v>1</x:v>
      </x:c>
      <x:c r="M10" s="143" t="n">
        <x:v>5</x:v>
      </x:c>
      <x:c r="N10" s="144" t="n">
        <x:f>ROUND(H10*Decision!$B$17+I10*Decision!$B$18+J10*Decision!$B$19+K10*Decision!$B$20+L10*Decision!$B$21+M10*Decision!$B$22,2)</x:f>
        <x:v>3.25</x:v>
      </x:c>
      <x:c r="O10" s="142" t="str"/>
      <x:c r="P10" s="145" t="str">
        <x:v>https://ecigintelligence.com/product-category/premium-data-bundles/</x:v>
      </x:c>
    </x:row>
    <x:row r="11" ht="78" customHeight="1">
      <x:c r="A11" s="119" t="n">
        <x:v>6</x:v>
      </x:c>
      <x:c r="B11" s="119" t="str">
        <x:v>4</x:v>
      </x:c>
      <x:c r="C11" s="81" t="str">
        <x:v>Statista</x:v>
      </x:c>
      <x:c r="D11" s="81" t="str">
        <x:v>Tobacco Products: market data &amp; analysis</x:v>
      </x:c>
      <x:c r="E11" s="81" t="str">
        <x:v>cross_check_only</x:v>
      </x:c>
      <x:c r="F11" s="81" t="str">
        <x:v>USD 995</x:v>
      </x:c>
      <x:c r="G11" s="81" t="str">
        <x:v>Consider only if a low-cost independent sensitivity comparator is still needed after the global master.
FI: Harkitse vain, jos globaalin pääaineiston jälkeen tarvitaan vielä edullinen riippumaton herkkyysvertailu.</x:v>
      </x:c>
      <x:c r="H11" s="121" t="n">
        <x:v>2</x:v>
      </x:c>
      <x:c r="I11" s="121" t="n">
        <x:v>2</x:v>
      </x:c>
      <x:c r="J11" s="121" t="n">
        <x:v>5</x:v>
      </x:c>
      <x:c r="K11" s="121" t="n">
        <x:v>3</x:v>
      </x:c>
      <x:c r="L11" s="121" t="n">
        <x:v>3</x:v>
      </x:c>
      <x:c r="M11" s="121" t="n">
        <x:v>5</x:v>
      </x:c>
      <x:c r="N11" s="123" t="n">
        <x:f>ROUND(H11*Decision!$B$17+I11*Decision!$B$18+J11*Decision!$B$19+K11*Decision!$B$20+L11*Decision!$B$21+M11*Decision!$B$22,2)</x:f>
        <x:v>3</x:v>
      </x:c>
      <x:c r="O11" s="81" t="str"/>
      <x:c r="P11" s="125" t="str">
        <x:v>https://www.statista.com/study/55497/tobacco-products-market-data-and-analysis/</x:v>
      </x:c>
    </x:row>
    <x:row r="12" ht="78" customHeight="1">
      <x:c r="A12" s="119" t="n">
        <x:v>7</x:v>
      </x:c>
      <x:c r="B12" s="119" t="str">
        <x:v>5</x:v>
      </x:c>
      <x:c r="C12" s="81" t="str">
        <x:v>YouGov or GWI</x:v>
      </x:c>
      <x:c r="D12" s="81" t="str">
        <x:v>Profiles / Core consumer panel</x:v>
      </x:c>
      <x:c r="E12" s="81" t="str">
        <x:v>parameter_validation</x:v>
      </x:c>
      <x:c r="F12" s="81" t="str">
        <x:v>Quote</x:v>
      </x:c>
      <x:c r="G12" s="81" t="str">
        <x:v>Buy only for a named parameter gap in an active-user or consumption-intensity model.
FI: Osta vain nimettyyn parametritarpeeseen aktiivikäyttäjä- tai kulutusintensiteettimallissa.</x:v>
      </x:c>
      <x:c r="H12" s="121" t="n">
        <x:v>2</x:v>
      </x:c>
      <x:c r="I12" s="121" t="n">
        <x:v>2</x:v>
      </x:c>
      <x:c r="J12" s="121" t="n">
        <x:v>4</x:v>
      </x:c>
      <x:c r="K12" s="121" t="n">
        <x:v>3</x:v>
      </x:c>
      <x:c r="L12" s="121" t="n">
        <x:v>2</x:v>
      </x:c>
      <x:c r="M12" s="121" t="n">
        <x:v>1</x:v>
      </x:c>
      <x:c r="N12" s="123" t="n">
        <x:f>ROUND(H12*Decision!$B$17+I12*Decision!$B$18+J12*Decision!$B$19+K12*Decision!$B$20+L12*Decision!$B$21+M12*Decision!$B$22,2)</x:f>
        <x:v>2.5</x:v>
      </x:c>
      <x:c r="O12" s="81" t="str">
        <x:v>consumer_panel_choose_one</x:v>
      </x:c>
      <x:c r="P12" s="125" t="str">
        <x:v>https://yougov.com/en-us/business/products/profiles</x:v>
      </x:c>
    </x:row>
    <x:row r="13" ht="78" customHeight="1">
      <x:c r="A13" s="119" t="n">
        <x:v>8</x:v>
      </x:c>
      <x:c r="B13" s="119" t="str">
        <x:v>6</x:v>
      </x:c>
      <x:c r="C13" s="81" t="str">
        <x:v>S&amp;P Global Market Intelligence</x:v>
      </x:c>
      <x:c r="D13" s="81" t="str">
        <x:v>Panjiva Supply Chain Intelligence</x:v>
      </x:c>
      <x:c r="E13" s="81" t="str">
        <x:v>targeted_gap_only</x:v>
      </x:c>
      <x:c r="F13" s="81" t="str">
        <x:v>Quote</x:v>
      </x:c>
      <x:c r="G13" s="81" t="str">
        <x:v>Buy only for a named company, lane and missing trade-flow question.
FI: Osta vain nimettyyn yritys-, reitti- ja puuttuvan kauppavirran kysymykseen.</x:v>
      </x:c>
      <x:c r="H13" s="121" t="n">
        <x:v>2</x:v>
      </x:c>
      <x:c r="I13" s="121" t="n">
        <x:v>1</x:v>
      </x:c>
      <x:c r="J13" s="121" t="n">
        <x:v>4</x:v>
      </x:c>
      <x:c r="K13" s="121" t="n">
        <x:v>4</x:v>
      </x:c>
      <x:c r="L13" s="121" t="n">
        <x:v>2</x:v>
      </x:c>
      <x:c r="M13" s="121" t="n">
        <x:v>1</x:v>
      </x:c>
      <x:c r="N13" s="123" t="n">
        <x:f>ROUND(H13*Decision!$B$17+I13*Decision!$B$18+J13*Decision!$B$19+K13*Decision!$B$20+L13*Decision!$B$21+M13*Decision!$B$22,2)</x:f>
        <x:v>2.45</x:v>
      </x:c>
      <x:c r="O13" s="81" t="str"/>
      <x:c r="P13" s="125" t="str">
        <x:v>https://www.spglobal.com/market-intelligence/en/solutions/products/panjiva-supply-chain-intelligence</x:v>
      </x:c>
    </x:row>
    <x:row r="14" ht="78" customHeight="1">
      <x:c r="A14" s="119" t="n">
        <x:v>9</x:v>
      </x:c>
      <x:c r="B14" s="119" t="str">
        <x:v>7</x:v>
      </x:c>
      <x:c r="C14" s="81" t="str">
        <x:v>Similarweb</x:v>
      </x:c>
      <x:c r="D14" s="81" t="str">
        <x:v>Retail / Digital Research Intelligence</x:v>
      </x:c>
      <x:c r="E14" s="81" t="str">
        <x:v>targeted_gap_only</x:v>
      </x:c>
      <x:c r="F14" s="81" t="str">
        <x:v>Quote</x:v>
      </x:c>
      <x:c r="G14" s="81" t="str">
        <x:v>Buy only if e-commerce is a material unresolved channel and a sample links traffic to the identified sites.
FI: Osta vain, jos verkkokauppa on olennainen ratkaisematon kanava ja näyte yhdistää liikenteen tunnistettuihin sivustoihin.</x:v>
      </x:c>
      <x:c r="H14" s="121" t="n">
        <x:v>1</x:v>
      </x:c>
      <x:c r="I14" s="121" t="n">
        <x:v>2</x:v>
      </x:c>
      <x:c r="J14" s="121" t="n">
        <x:v>4</x:v>
      </x:c>
      <x:c r="K14" s="121" t="n">
        <x:v>2</x:v>
      </x:c>
      <x:c r="L14" s="121" t="n">
        <x:v>1</x:v>
      </x:c>
      <x:c r="M14" s="121" t="n">
        <x:v>1</x:v>
      </x:c>
      <x:c r="N14" s="123" t="n">
        <x:f>ROUND(H14*Decision!$B$17+I14*Decision!$B$18+J14*Decision!$B$19+K14*Decision!$B$20+L14*Decision!$B$21+M14*Decision!$B$22,2)</x:f>
        <x:v>1.95</x:v>
      </x:c>
      <x:c r="O14" s="81" t="str"/>
      <x:c r="P14" s="125" t="str">
        <x:v>https://www.similarweb.com/corp/retail/</x:v>
      </x:c>
    </x:row>
    <x:row r="15" ht="78" customHeight="1">
      <x:c r="A15" s="146" t="n">
        <x:v>10</x:v>
      </x:c>
      <x:c r="B15" s="146" t="str">
        <x:v>P1</x:v>
      </x:c>
      <x:c r="C15" s="147" t="str">
        <x:v>Clarivate</x:v>
      </x:c>
      <x:c r="D15" s="147" t="str">
        <x:v>Darts-ip / Litigation Intelligence one-off search</x:v>
      </x:c>
      <x:c r="E15" s="147" t="str">
        <x:v>parallel_ip_gate</x:v>
      </x:c>
      <x:c r="F15" s="147" t="str">
        <x:v>Quote</x:v>
      </x:c>
      <x:c r="G15" s="147" t="str">
        <x:v>Run in parallel if the patent history remains a key financing or sale premise.
FI: Toteuta rinnakkain, jos patenttihistoria säilyy rahoituksen tai myynnin keskeisenä perusteena.</x:v>
      </x:c>
      <x:c r="H15" s="148" t="n">
        <x:v>1</x:v>
      </x:c>
      <x:c r="I15" s="148" t="n">
        <x:v>1</x:v>
      </x:c>
      <x:c r="J15" s="148" t="n">
        <x:v>4</x:v>
      </x:c>
      <x:c r="K15" s="148" t="n">
        <x:v>4</x:v>
      </x:c>
      <x:c r="L15" s="148" t="n">
        <x:v>3</x:v>
      </x:c>
      <x:c r="M15" s="148" t="n">
        <x:v>1</x:v>
      </x:c>
      <x:c r="N15" s="149" t="n">
        <x:f>ROUND(H15*Decision!$B$17+I15*Decision!$B$18+J15*Decision!$B$19+K15*Decision!$B$20+L15*Decision!$B$21+M15*Decision!$B$22,2)</x:f>
        <x:v>2.25</x:v>
      </x:c>
      <x:c r="O15" s="147" t="str"/>
      <x:c r="P15" s="150" t="str">
        <x:v>https://clarivate.com/intellectual-property/litigation-intelligence/</x:v>
      </x:c>
    </x:row>
    <x:row r="16" ht="78" customHeight="1">
      <x:c r="A16" s="146" t="n">
        <x:v>11</x:v>
      </x:c>
      <x:c r="B16" s="146" t="str">
        <x:v>P2</x:v>
      </x:c>
      <x:c r="C16" s="147" t="str">
        <x:v>Moody's Orbis or S&amp;P Capital IQ</x:v>
      </x:c>
      <x:c r="D16" s="147" t="str">
        <x:v>Company, ownership and financial data</x:v>
      </x:c>
      <x:c r="E16" s="147" t="str">
        <x:v>parallel_company_gate</x:v>
      </x:c>
      <x:c r="F16" s="147" t="str">
        <x:v>Quote</x:v>
      </x:c>
      <x:c r="G16" s="147" t="str">
        <x:v>First ask the lender, adviser or law firm whether existing licensed access can be used for the transaction.
FI: Kysy ensin rahoittajalta, neuvonantajalta tai asianajotoimistolta, voidaanko heidän nykyistä lisenssiään käyttää transaktioon.</x:v>
      </x:c>
      <x:c r="H16" s="148" t="n">
        <x:v>1</x:v>
      </x:c>
      <x:c r="I16" s="148" t="n">
        <x:v>1</x:v>
      </x:c>
      <x:c r="J16" s="148" t="n">
        <x:v>5</x:v>
      </x:c>
      <x:c r="K16" s="148" t="n">
        <x:v>3</x:v>
      </x:c>
      <x:c r="L16" s="148" t="n">
        <x:v>3</x:v>
      </x:c>
      <x:c r="M16" s="148" t="n">
        <x:v>1</x:v>
      </x:c>
      <x:c r="N16" s="149" t="n">
        <x:f>ROUND(H16*Decision!$B$17+I16*Decision!$B$18+J16*Decision!$B$19+K16*Decision!$B$20+L16*Decision!$B$21+M16*Decision!$B$22,2)</x:f>
        <x:v>2.3</x:v>
      </x:c>
      <x:c r="O16" s="147" t="str">
        <x:v>company_data_choose_existing_access_first</x:v>
      </x:c>
      <x:c r="P16" s="150" t="str">
        <x:v>https://www.moodys.com/web/en/us/capabilities/company-reference-data/orbis.html</x:v>
      </x:c>
    </x:row>
  </x:sheetData>
  <x:mergeCells>
    <x:mergeCell ref="A1:P2"/>
    <x:mergeCell ref="A3:P3"/>
  </x:mergeCells>
  <x:conditionalFormatting sqref="N6:N16">
    <x:cfRule type="cellIs" dxfId="0" priority="1" operator="greaterThanOrEqual">
      <x:formula>3.5</x:formula>
    </x:cfRule>
    <x:cfRule type="cellIs" dxfId="1" priority="2" operator="lessThan">
      <x:formula>2.5</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20" hidden="0" customWidth="1"/>
    <x:col min="3" max="3" width="78" hidden="0" customWidth="1"/>
    <x:col min="4" max="4" width="13" hidden="0" customWidth="1"/>
    <x:col min="5" max="5" width="44" hidden="0" customWidth="1"/>
    <x:col min="6" max="6" width="42" hidden="0" customWidth="1"/>
    <x:col min="7" max="7" width="24" hidden="0" customWidth="1"/>
    <x:col min="8" max="8" width="14" hidden="0" customWidth="1"/>
  </x:cols>
  <x:sheetData>
    <x:row r="1" ht="27" customHeight="1">
      <x:c r="A1" s="5" t="str">
        <x:v>Mandatory RFP and stop/go gate / Pakollinen tarjouspyyntö- ja päätösportti</x:v>
      </x:c>
      <x:c r="B1" s="5"/>
      <x:c r="C1" s="5"/>
      <x:c r="D1" s="5"/>
      <x:c r="E1" s="5"/>
      <x:c r="F1" s="5"/>
      <x:c r="G1" s="5"/>
      <x:c r="H1" s="5"/>
    </x:row>
    <x:row r="2" ht="27" customHeight="1">
      <x:c r="A2" s="5"/>
      <x:c r="B2" s="5"/>
      <x:c r="C2" s="5"/>
      <x:c r="D2" s="5"/>
      <x:c r="E2" s="5"/>
      <x:c r="F2" s="5"/>
      <x:c r="G2" s="5"/>
      <x:c r="H2" s="5"/>
    </x:row>
    <x:row r="3" ht="28" customHeight="1">
      <x:c r="A3" s="9" t="str">
        <x:v>GO only when every mandatory criterion is documented. One STOP condition is enough to reject or renegotiate the offer.</x:v>
      </x:c>
      <x:c r="B3" s="9"/>
      <x:c r="C3" s="9"/>
      <x:c r="D3" s="9"/>
      <x:c r="E3" s="9"/>
      <x:c r="F3" s="9"/>
      <x:c r="G3" s="9"/>
      <x:c r="H3" s="9"/>
    </x:row>
    <x:row r="5">
      <x:c r="A5" s="74" t="str">
        <x:v>Gate</x:v>
      </x:c>
      <x:c r="B5" s="74" t="str">
        <x:v>ID</x:v>
      </x:c>
      <x:c r="C5" s="74" t="str">
        <x:v>Requirement / Vaatimus</x:v>
      </x:c>
      <x:c r="D5" s="74" t="str">
        <x:v>Mandatory</x:v>
      </x:c>
      <x:c r="E5" s="74" t="str">
        <x:v>Vendor response</x:v>
      </x:c>
      <x:c r="F5" s="74" t="str">
        <x:v>Evidence link</x:v>
      </x:c>
      <x:c r="G5" s="74" t="str">
        <x:v>Reviewer</x:v>
      </x:c>
      <x:c r="H5" s="74" t="str">
        <x:v>Decision</x:v>
      </x:c>
    </x:row>
    <x:row r="6" ht="64" customHeight="1">
      <x:c r="A6" s="126" t="str">
        <x:v>GO</x:v>
      </x:c>
      <x:c r="B6" s="126" t="str">
        <x:v>sample</x:v>
      </x:c>
      <x:c r="C6" s="127" t="str">
        <x:v>A downloadable 24–36 month sample for Germany plus the United States or United Kingdom.
FI: Ladattava 24–36 kuukauden näyte Saksasta sekä Yhdysvalloista tai Britanniasta.</x:v>
      </x:c>
      <x:c r="D6" s="126" t="str">
        <x:v>YES</x:v>
      </x:c>
      <x:c r="E6" s="127" t="str"/>
      <x:c r="F6" s="127" t="str"/>
      <x:c r="G6" s="127" t="str"/>
      <x:c r="H6" s="127" t="str">
        <x:v>OPEN</x:v>
      </x:c>
    </x:row>
    <x:row r="7" ht="64" customHeight="1">
      <x:c r="A7" s="131" t="str">
        <x:v>GO</x:v>
      </x:c>
      <x:c r="B7" s="131" t="str">
        <x:v>dictionary</x:v>
      </x:c>
      <x:c r="C7" s="132" t="str">
        <x:v>A data dictionary defining product, value, volume, tax, channel, legal/illicit and forecast boundaries.
FI: Data dictionary, joka määrittelee tuote-, arvo-, volyymi-, vero-, kanava-, laillinen/laiton- ja ennusterajat.</x:v>
      </x:c>
      <x:c r="D7" s="131" t="str">
        <x:v>YES</x:v>
      </x:c>
      <x:c r="E7" s="132" t="str"/>
      <x:c r="F7" s="132" t="str"/>
      <x:c r="G7" s="132" t="str"/>
      <x:c r="H7" s="132" t="str">
        <x:v>OPEN</x:v>
      </x:c>
    </x:row>
    <x:row r="8" ht="64" customHeight="1">
      <x:c r="A8" s="131" t="str">
        <x:v>GO</x:v>
      </x:c>
      <x:c r="B8" s="131" t="str">
        <x:v>provenance</x:v>
      </x:c>
      <x:c r="C8" s="132" t="str">
        <x:v>Observed, weighted, modelled and forecast values are visibly separated, with coverage, missingness, suppression and revision rules.
FI: Havaitut, painotetut, mallinnetut ja ennustetut arvot erotetaan näkyvästi sekä peitto-, puuttuvuus-, salaus- ja revisiosäännöt esitetään.</x:v>
      </x:c>
      <x:c r="D8" s="131" t="str">
        <x:v>YES</x:v>
      </x:c>
      <x:c r="E8" s="132" t="str"/>
      <x:c r="F8" s="132" t="str"/>
      <x:c r="G8" s="132" t="str"/>
      <x:c r="H8" s="132" t="str">
        <x:v>OPEN</x:v>
      </x:c>
    </x:row>
    <x:row r="9" ht="64" customHeight="1">
      <x:c r="A9" s="131" t="str">
        <x:v>GO</x:v>
      </x:c>
      <x:c r="B9" s="131" t="str">
        <x:v>official_bridge</x:v>
      </x:c>
      <x:c r="C9" s="132" t="str">
        <x:v>An explainable bridge to at least one official tax, customs, notification or shipment anchor.
FI: Selitettävä täsmäytys vähintään yhteen viralliseen vero-, tulli-, ilmoitus- tai lähetysankkuriin.</x:v>
      </x:c>
      <x:c r="D9" s="131" t="str">
        <x:v>YES</x:v>
      </x:c>
      <x:c r="E9" s="132" t="str"/>
      <x:c r="F9" s="132" t="str"/>
      <x:c r="G9" s="132" t="str"/>
      <x:c r="H9" s="132" t="str">
        <x:v>OPEN</x:v>
      </x:c>
    </x:row>
    <x:row r="10" ht="64" customHeight="1">
      <x:c r="A10" s="131" t="str">
        <x:v>GO</x:v>
      </x:c>
      <x:c r="B10" s="131" t="str">
        <x:v>freshness</x:v>
      </x:c>
      <x:c r="C10" s="132" t="str">
        <x:v>Latest observation no more than three months old, or a documented update calendar and lag.
FI: Uusin havainto enintään kolme kuukautta vanha tai dokumentoitu päivityskalenteri ja viive.</x:v>
      </x:c>
      <x:c r="D10" s="131" t="str">
        <x:v>YES</x:v>
      </x:c>
      <x:c r="E10" s="132" t="str"/>
      <x:c r="F10" s="132" t="str"/>
      <x:c r="G10" s="132" t="str"/>
      <x:c r="H10" s="132" t="str">
        <x:v>OPEN</x:v>
      </x:c>
    </x:row>
    <x:row r="11" ht="64" customHeight="1">
      <x:c r="A11" s="131" t="str">
        <x:v>GO</x:v>
      </x:c>
      <x:c r="B11" s="131" t="str">
        <x:v>licence</x:v>
      </x:c>
      <x:c r="C11" s="132" t="str">
        <x:v>Written right to use limited excerpts and derived charts in an NDA-protected lender/M&amp;A data room and to retain an audit archive after expiry.
FI: Kirjallinen oikeus käyttää rajattuja otteita ja johdettuja kaavioita NDA-suojatussa rahoittaja-/M&amp;A-datahuoneessa sekä säilyttää tarkastusarkisto tilauksen päätyttyä.</x:v>
      </x:c>
      <x:c r="D11" s="131" t="str">
        <x:v>YES</x:v>
      </x:c>
      <x:c r="E11" s="132" t="str"/>
      <x:c r="F11" s="132" t="str"/>
      <x:c r="G11" s="132" t="str"/>
      <x:c r="H11" s="132" t="str">
        <x:v>OPEN</x:v>
      </x:c>
    </x:row>
    <x:row r="12" ht="64" customHeight="1">
      <x:c r="A12" s="131" t="str">
        <x:v>GO</x:v>
      </x:c>
      <x:c r="B12" s="131" t="str">
        <x:v>commercial</x:v>
      </x:c>
      <x:c r="C12" s="132" t="str">
        <x:v>Total cost, users, exports/API, support, renewal, cancellation and no-auto-renew terms are stated.
FI: Kokonaiskustannus, käyttäjät, vienti/API, tuki, uusinta, irtisanominen ja automaattisen uusinnan puuttuminen on ilmoitettu.</x:v>
      </x:c>
      <x:c r="D12" s="131" t="str">
        <x:v>YES</x:v>
      </x:c>
      <x:c r="E12" s="132" t="str"/>
      <x:c r="F12" s="132" t="str"/>
      <x:c r="G12" s="132" t="str"/>
      <x:c r="H12" s="132" t="str">
        <x:v>OPEN</x:v>
      </x:c>
    </x:row>
    <x:row r="13" ht="64" customHeight="1">
      <x:c r="A13" s="151" t="str">
        <x:v>STOP</x:v>
      </x:c>
      <x:c r="B13" s="151" t="str">
        <x:v>pdf_only</x:v>
      </x:c>
      <x:c r="C13" s="152" t="str">
        <x:v>Only a PDF, headline or CAGR is supplied without a downloadable country-year series.
FI: Tarjolla on vain PDF, otsikkoluku tai CAGR ilman ladattavaa maa–vuosi-sarjaa.</x:v>
      </x:c>
      <x:c r="D13" s="151" t="str">
        <x:v>YES</x:v>
      </x:c>
      <x:c r="E13" s="152" t="str"/>
      <x:c r="F13" s="152" t="str"/>
      <x:c r="G13" s="152" t="str"/>
      <x:c r="H13" s="152" t="str">
        <x:v>OPEN</x:v>
      </x:c>
    </x:row>
    <x:row r="14" ht="64" customHeight="1">
      <x:c r="A14" s="151" t="str">
        <x:v>STOP</x:v>
      </x:c>
      <x:c r="B14" s="151" t="str">
        <x:v>black_box</x:v>
      </x:c>
      <x:c r="C14" s="152" t="str">
        <x:v>The method, source mix or more than half of the estimate is an unexplained black box.
FI: Menetelmä, lähdeyhdistelmä tai yli puolet arviosta jää selittämättömäksi black boxiksi.</x:v>
      </x:c>
      <x:c r="D14" s="151" t="str">
        <x:v>YES</x:v>
      </x:c>
      <x:c r="E14" s="152" t="str"/>
      <x:c r="F14" s="152" t="str"/>
      <x:c r="G14" s="152" t="str"/>
      <x:c r="H14" s="152" t="str">
        <x:v>OPEN</x:v>
      </x:c>
    </x:row>
    <x:row r="15" ht="64" customHeight="1">
      <x:c r="A15" s="151" t="str">
        <x:v>STOP</x:v>
      </x:c>
      <x:c r="B15" s="151" t="str">
        <x:v>scope_mix</x:v>
      </x:c>
      <x:c r="C15" s="152" t="str">
        <x:v>Hardware, e-liquid, heated tobacco, legal and illicit trade are mixed without a bridge.
FI: Laitteet, nesteet, kuumennettava tupakka sekä laillinen ja laiton kauppa sekoitetaan ilman täsmäytystä.</x:v>
      </x:c>
      <x:c r="D15" s="151" t="str">
        <x:v>YES</x:v>
      </x:c>
      <x:c r="E15" s="152" t="str"/>
      <x:c r="F15" s="152" t="str"/>
      <x:c r="G15" s="152" t="str"/>
      <x:c r="H15" s="152" t="str">
        <x:v>OPEN</x:v>
      </x:c>
    </x:row>
    <x:row r="16" ht="64" customHeight="1">
      <x:c r="A16" s="151" t="str">
        <x:v>STOP</x:v>
      </x:c>
      <x:c r="B16" s="151" t="str">
        <x:v>no_sample</x:v>
      </x:c>
      <x:c r="C16" s="152" t="str">
        <x:v>No sample, data dictionary, coverage matrix or official-anchor reconciliation is supplied before purchase.
FI: Näytettä, data dictionarya, peittomatriisia tai viralliseen ankkuriin täsmäytystä ei toimiteta ennen ostoa.</x:v>
      </x:c>
      <x:c r="D16" s="151" t="str">
        <x:v>YES</x:v>
      </x:c>
      <x:c r="E16" s="152" t="str"/>
      <x:c r="F16" s="152" t="str"/>
      <x:c r="G16" s="152" t="str"/>
      <x:c r="H16" s="152" t="str">
        <x:v>OPEN</x:v>
      </x:c>
    </x:row>
    <x:row r="17" ht="64" customHeight="1">
      <x:c r="A17" s="151" t="str">
        <x:v>STOP</x:v>
      </x:c>
      <x:c r="B17" s="151" t="str">
        <x:v>licence_block</x:v>
      </x:c>
      <x:c r="C17" s="152" t="str">
        <x:v>The licence prevents the intended lender, buyer, adviser or audit-archive use.
FI: Lisenssi estää aiotun rahoittaja-, ostaja-, neuvonantaja- tai tarkastusarkistokäytön.</x:v>
      </x:c>
      <x:c r="D17" s="151" t="str">
        <x:v>YES</x:v>
      </x:c>
      <x:c r="E17" s="152" t="str"/>
      <x:c r="F17" s="152" t="str"/>
      <x:c r="G17" s="152" t="str"/>
      <x:c r="H17" s="152" t="str">
        <x:v>OPEN</x:v>
      </x:c>
    </x:row>
  </x:sheetData>
  <x:mergeCells>
    <x:mergeCell ref="A1:H2"/>
    <x:mergeCell ref="A3:H3"/>
  </x:mergeCells>
  <x:conditionalFormatting sqref="H6:H17">
    <x:cfRule type="containsText" dxfId="2" priority="1" operator="containsText" text="PASS"/>
    <x:cfRule type="containsText" dxfId="3" priority="2" operator="containsText" text="FAIL"/>
  </x:conditionalFormatting>
  <x:dataValidations count="1">
    <x:dataValidation type="list" sqref="H6:H17">
      <x:formula1>"OPEN,PASS,FAIL,N/A"</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38" hidden="0" customWidth="1"/>
    <x:col min="3" max="3" width="85" hidden="0" customWidth="1"/>
    <x:col min="4" max="4" width="38" hidden="0" customWidth="1"/>
    <x:col min="5" max="5" width="16" hidden="0" customWidth="1"/>
    <x:col min="6" max="6" width="16" hidden="0" customWidth="1"/>
    <x:col min="7" max="7" width="17" hidden="0" customWidth="1"/>
    <x:col min="8" max="8" width="22" hidden="0" customWidth="1"/>
  </x:cols>
  <x:sheetData>
    <x:row r="1" ht="27" customHeight="1">
      <x:c r="A1" s="5" t="str">
        <x:v>Do not buy as primary evidence / Älä osta pääasialliseksi evidenssiksi</x:v>
      </x:c>
      <x:c r="B1" s="5"/>
      <x:c r="C1" s="5"/>
      <x:c r="D1" s="5"/>
      <x:c r="E1" s="5"/>
      <x:c r="F1" s="5"/>
      <x:c r="G1" s="5"/>
      <x:c r="H1" s="5"/>
    </x:row>
    <x:row r="2" ht="27" customHeight="1">
      <x:c r="A2" s="5"/>
      <x:c r="B2" s="5"/>
      <x:c r="C2" s="5"/>
      <x:c r="D2" s="5"/>
      <x:c r="E2" s="5"/>
      <x:c r="F2" s="5"/>
      <x:c r="G2" s="5"/>
      <x:c r="H2" s="5"/>
    </x:row>
    <x:row r="3" ht="28" customHeight="1">
      <x:c r="A3" s="9" t="str">
        <x:v>Generic market PDFs may support sensitivity comparisons, but they do not replace a reviewable country-year dataset.</x:v>
      </x:c>
      <x:c r="B3" s="9"/>
      <x:c r="C3" s="9"/>
      <x:c r="D3" s="9"/>
      <x:c r="E3" s="9"/>
      <x:c r="F3" s="9"/>
      <x:c r="G3" s="9"/>
      <x:c r="H3" s="9"/>
    </x:row>
    <x:row r="5">
      <x:c r="A5" s="74" t="str">
        <x:v>Name</x:v>
      </x:c>
      <x:c r="B5" s="74" t="str">
        <x:v>Examples</x:v>
      </x:c>
      <x:c r="C5" s="74" t="str">
        <x:v>Reason / Peruste</x:v>
      </x:c>
      <x:c r="D5" s="74" t="str">
        <x:v>Permitted use</x:v>
      </x:c>
      <x:c r="E5" s="74" t="str">
        <x:v>Sample required</x:v>
      </x:c>
      <x:c r="F5" s="74" t="str">
        <x:v>Method required</x:v>
      </x:c>
      <x:c r="G5" s="74" t="str">
        <x:v>Licence required</x:v>
      </x:c>
      <x:c r="H5" s="74" t="str">
        <x:v>Current action</x:v>
      </x:c>
    </x:row>
    <x:row r="6" ht="100" customHeight="1">
      <x:c r="A6" s="153" t="str">
        <x:v>Generic syndicated CAGR reports</x:v>
      </x:c>
      <x:c r="B6" s="153" t="str">
        <x:v>Grand View Research, IMARC, Mordor Intelligence and similar</x:v>
      </x:c>
      <x:c r="C6" s="153" t="str">
        <x:v>Useful only as sensitivity references unless the exact country-year data, definitions, sample and methods are supplied. Published global totals can differ materially because product, channel, tax and illicit-trade scopes differ.
FI: Hyödyllisiä vain herkkyysvertailuna, ellei täsmällistä maa–vuosi-dataa, määritelmiä, näytettä ja menetelmää toimiteta. Julkaistut globaalit summat voivat erota olennaisesti tuote-, kanava-, vero- ja laittoman kaupan rajausten vuoksi.</x:v>
      </x:c>
      <x:c r="D6" s="153" t="str">
        <x:v>Sensitivity cross-check only / Vain herkkyysvertailu</x:v>
      </x:c>
      <x:c r="E6" s="155" t="str">
        <x:v>YES</x:v>
      </x:c>
      <x:c r="F6" s="155" t="str">
        <x:v>YES</x:v>
      </x:c>
      <x:c r="G6" s="155" t="str">
        <x:v>YES</x:v>
      </x:c>
      <x:c r="H6" s="157" t="str">
        <x:v>DO NOT BUY NOW</x:v>
      </x:c>
    </x:row>
    <x:row r="7" ht="100" customHeight="1">
      <x:c r="A7" s="154" t="str">
        <x:v>GlobalData general tobacco reports</x:v>
      </x:c>
      <x:c r="B7" s="154" t="str">
        <x:v>Country and industry reports</x:v>
      </x:c>
      <x:c r="C7" s="154" t="str">
        <x:v>Do not buy before a vape-specific sample Excel demonstrates a non-duplicative annual country series.
FI: Älä osta ennen kuin vape-spesifinen näyte-Excel osoittaa päällekkäisyyttä välttävän vuosittaisen maasarjan.</x:v>
      </x:c>
      <x:c r="D7" s="154" t="str">
        <x:v>Sensitivity cross-check only / Vain herkkyysvertailu</x:v>
      </x:c>
      <x:c r="E7" s="156" t="str">
        <x:v>YES</x:v>
      </x:c>
      <x:c r="F7" s="156" t="str">
        <x:v>YES</x:v>
      </x:c>
      <x:c r="G7" s="156" t="str">
        <x:v>YES</x:v>
      </x:c>
      <x:c r="H7" s="158" t="str">
        <x:v>DO NOT BUY NOW</x:v>
      </x:c>
    </x:row>
  </x:sheetData>
  <x:mergeCells>
    <x:mergeCell ref="A1:H2"/>
    <x:mergeCell ref="A3:H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90" hidden="0" customWidth="1"/>
    <x:col min="4" max="4" width="14" hidden="0" customWidth="1"/>
    <x:col min="5" max="5" width="65" hidden="0" customWidth="1"/>
  </x:cols>
  <x:sheetData>
    <x:row r="1" ht="27" customHeight="1">
      <x:c r="A1" s="5" t="str">
        <x:v>Vendor pages and terms / Toimittajasivut ja ehdot</x:v>
      </x:c>
      <x:c r="B1" s="5"/>
      <x:c r="C1" s="5"/>
      <x:c r="D1" s="5"/>
      <x:c r="E1" s="5"/>
    </x:row>
    <x:row r="2" ht="27" customHeight="1">
      <x:c r="A2" s="5"/>
      <x:c r="B2" s="5"/>
      <x:c r="C2" s="5"/>
      <x:c r="D2" s="5"/>
      <x:c r="E2" s="5"/>
    </x:row>
    <x:row r="3" ht="28" customHeight="1">
      <x:c r="A3" s="9" t="str">
        <x:v>Prices and product descriptions are page observations, not quotations. A signed order and licence control the usable rights.</x:v>
      </x:c>
      <x:c r="B3" s="9"/>
      <x:c r="C3" s="9"/>
      <x:c r="D3" s="9"/>
      <x:c r="E3" s="9"/>
    </x:row>
    <x:row r="5">
      <x:c r="A5" s="74" t="str">
        <x:v>Vendor</x:v>
      </x:c>
      <x:c r="B5" s="74" t="str">
        <x:v>Product / context</x:v>
      </x:c>
      <x:c r="C5" s="74" t="str">
        <x:v>URL</x:v>
      </x:c>
      <x:c r="D5" s="74" t="str">
        <x:v>Verified</x:v>
      </x:c>
      <x:c r="E5" s="74" t="str">
        <x:v>Use boundary</x:v>
      </x:c>
    </x:row>
    <x:row r="6" ht="54" customHeight="1">
      <x:c r="A6" s="80" t="str">
        <x:v>ECigIntelligence</x:v>
      </x:c>
      <x:c r="B6" s="80" t="str">
        <x:v>Global Market Database</x:v>
      </x:c>
      <x:c r="C6" s="124" t="str">
        <x:v>https://ecigintelligence.com/product-category/premium-data-bundles/</x:v>
      </x:c>
      <x:c r="D6" s="80" t="str">
        <x:v>2026-07-23</x:v>
      </x:c>
      <x:c r="E6" s="80" t="str">
        <x:v>Reference only; confirm current scope, price and transaction-use rights in writing.</x:v>
      </x:c>
    </x:row>
    <x:row r="7" ht="54" customHeight="1">
      <x:c r="A7" s="81" t="str">
        <x:v>ECigIntelligence</x:v>
      </x:c>
      <x:c r="B7" s="81" t="str">
        <x:v>Global Market Database</x:v>
      </x:c>
      <x:c r="C7" s="125" t="str">
        <x:v>https://ecigintelligence.com/shop/</x:v>
      </x:c>
      <x:c r="D7" s="81" t="str">
        <x:v>2026-07-23</x:v>
      </x:c>
      <x:c r="E7" s="81" t="str">
        <x:v>Reference only; confirm current scope, price and transaction-use rights in writing.</x:v>
      </x:c>
    </x:row>
    <x:row r="8" ht="54" customHeight="1">
      <x:c r="A8" s="81" t="str">
        <x:v>ECigIntelligence</x:v>
      </x:c>
      <x:c r="B8" s="81" t="str">
        <x:v>Global Market Database</x:v>
      </x:c>
      <x:c r="C8" s="125" t="str">
        <x:v>https://ecigintelligence.com/terms-conditions/</x:v>
      </x:c>
      <x:c r="D8" s="81" t="str">
        <x:v>2026-07-23</x:v>
      </x:c>
      <x:c r="E8" s="81" t="str">
        <x:v>Reference only; confirm current scope, price and transaction-use rights in writing.</x:v>
      </x:c>
    </x:row>
    <x:row r="9" ht="54" customHeight="1">
      <x:c r="A9" s="81" t="str">
        <x:v>Euromonitor International</x:v>
      </x:c>
      <x:c r="B9" s="81" t="str">
        <x:v>Passport Nicotine / e-vapour country series</x:v>
      </x:c>
      <x:c r="C9" s="125" t="str">
        <x:v>https://www.euromonitor.com/smokeless-tobacco-e-vapour-products-and-heated-tobacco-in-denmark/report</x:v>
      </x:c>
      <x:c r="D9" s="81" t="str">
        <x:v>2026-07-23</x:v>
      </x:c>
      <x:c r="E9" s="81" t="str">
        <x:v>Reference only; confirm current scope, price and transaction-use rights in writing.</x:v>
      </x:c>
    </x:row>
    <x:row r="10" ht="54" customHeight="1">
      <x:c r="A10" s="81" t="str">
        <x:v>Euromonitor International</x:v>
      </x:c>
      <x:c r="B10" s="81" t="str">
        <x:v>Passport Nicotine / e-vapour country series</x:v>
      </x:c>
      <x:c r="C10" s="125" t="str">
        <x:v>https://www.euromonitor.com/terms-and-conditions</x:v>
      </x:c>
      <x:c r="D10" s="81" t="str">
        <x:v>2026-07-23</x:v>
      </x:c>
      <x:c r="E10" s="81" t="str">
        <x:v>Reference only; confirm current scope, price and transaction-use rights in writing.</x:v>
      </x:c>
    </x:row>
    <x:row r="11" ht="54" customHeight="1">
      <x:c r="A11" s="81" t="str">
        <x:v>Euromonitor International</x:v>
      </x:c>
      <x:c r="B11" s="81" t="str">
        <x:v>Passport Nicotine / e-vapour country series</x:v>
      </x:c>
      <x:c r="C11" s="125" t="str">
        <x:v>https://www.euromonitor.com/contact-us</x:v>
      </x:c>
      <x:c r="D11" s="81" t="str">
        <x:v>2026-07-23</x:v>
      </x:c>
      <x:c r="E11" s="81" t="str">
        <x:v>Reference only; confirm current scope, price and transaction-use rights in writing.</x:v>
      </x:c>
    </x:row>
    <x:row r="12" ht="54" customHeight="1">
      <x:c r="A12" s="81" t="str">
        <x:v>NielsenIQ</x:v>
      </x:c>
      <x:c r="B12" s="81" t="str">
        <x:v>Retail Measurement Services pilot</x:v>
      </x:c>
      <x:c r="C12" s="125" t="str">
        <x:v>https://nielseniq.com/global/en/products/retail-measurement-services-rms/</x:v>
      </x:c>
      <x:c r="D12" s="81" t="str">
        <x:v>2026-07-23</x:v>
      </x:c>
      <x:c r="E12" s="81" t="str">
        <x:v>Reference only; confirm current scope, price and transaction-use rights in writing.</x:v>
      </x:c>
    </x:row>
    <x:row r="13" ht="54" customHeight="1">
      <x:c r="A13" s="81" t="str">
        <x:v>Circana</x:v>
      </x:c>
      <x:c r="B13" s="81" t="str">
        <x:v>US Tobacco POS pilot</x:v>
      </x:c>
      <x:c r="C13" s="125" t="str">
        <x:v>https://www.circana.com/industries/tobacco</x:v>
      </x:c>
      <x:c r="D13" s="81" t="str">
        <x:v>2026-07-23</x:v>
      </x:c>
      <x:c r="E13" s="81" t="str">
        <x:v>Reference only; confirm current scope, price and transaction-use rights in writing.</x:v>
      </x:c>
    </x:row>
    <x:row r="14" ht="54" customHeight="1">
      <x:c r="A14" s="81" t="str">
        <x:v>Circana</x:v>
      </x:c>
      <x:c r="B14" s="81" t="str">
        <x:v>US Tobacco POS pilot</x:v>
      </x:c>
      <x:c r="C14" s="125" t="str">
        <x:v>https://www.circana.com/europe-mtc</x:v>
      </x:c>
      <x:c r="D14" s="81" t="str">
        <x:v>2026-07-23</x:v>
      </x:c>
      <x:c r="E14" s="81" t="str">
        <x:v>Reference only; confirm current scope, price and transaction-use rights in writing.</x:v>
      </x:c>
    </x:row>
    <x:row r="15" ht="54" customHeight="1">
      <x:c r="A15" s="81" t="str">
        <x:v>Statista</x:v>
      </x:c>
      <x:c r="B15" s="81" t="str">
        <x:v>Tobacco Products: market data &amp; analysis</x:v>
      </x:c>
      <x:c r="C15" s="125" t="str">
        <x:v>https://www.statista.com/study/55497/tobacco-products-market-data-and-analysis/</x:v>
      </x:c>
      <x:c r="D15" s="81" t="str">
        <x:v>2026-07-23</x:v>
      </x:c>
      <x:c r="E15" s="81" t="str">
        <x:v>Reference only; confirm current scope, price and transaction-use rights in writing.</x:v>
      </x:c>
    </x:row>
    <x:row r="16" ht="54" customHeight="1">
      <x:c r="A16" s="81" t="str">
        <x:v>Statista</x:v>
      </x:c>
      <x:c r="B16" s="81" t="str">
        <x:v>Tobacco Products: market data &amp; analysis</x:v>
      </x:c>
      <x:c r="C16" s="125" t="str">
        <x:v>https://www.statista.com/imprint/</x:v>
      </x:c>
      <x:c r="D16" s="81" t="str">
        <x:v>2026-07-23</x:v>
      </x:c>
      <x:c r="E16" s="81" t="str">
        <x:v>Reference only; confirm current scope, price and transaction-use rights in writing.</x:v>
      </x:c>
    </x:row>
    <x:row r="17" ht="54" customHeight="1">
      <x:c r="A17" s="81" t="str">
        <x:v>YouGov or GWI</x:v>
      </x:c>
      <x:c r="B17" s="81" t="str">
        <x:v>Profiles / Core consumer panel</x:v>
      </x:c>
      <x:c r="C17" s="125" t="str">
        <x:v>https://yougov.com/en-us/business/products/profiles</x:v>
      </x:c>
      <x:c r="D17" s="81" t="str">
        <x:v>2026-07-23</x:v>
      </x:c>
      <x:c r="E17" s="81" t="str">
        <x:v>Reference only; confirm current scope, price and transaction-use rights in writing.</x:v>
      </x:c>
    </x:row>
    <x:row r="18" ht="54" customHeight="1">
      <x:c r="A18" s="81" t="str">
        <x:v>S&amp;P Global Market Intelligence</x:v>
      </x:c>
      <x:c r="B18" s="81" t="str">
        <x:v>Panjiva Supply Chain Intelligence</x:v>
      </x:c>
      <x:c r="C18" s="125" t="str">
        <x:v>https://www.spglobal.com/market-intelligence/en/solutions/products/panjiva-supply-chain-intelligence</x:v>
      </x:c>
      <x:c r="D18" s="81" t="str">
        <x:v>2026-07-23</x:v>
      </x:c>
      <x:c r="E18" s="81" t="str">
        <x:v>Reference only; confirm current scope, price and transaction-use rights in writing.</x:v>
      </x:c>
    </x:row>
    <x:row r="19" ht="54" customHeight="1">
      <x:c r="A19" s="81" t="str">
        <x:v>Similarweb</x:v>
      </x:c>
      <x:c r="B19" s="81" t="str">
        <x:v>Retail / Digital Research Intelligence</x:v>
      </x:c>
      <x:c r="C19" s="125" t="str">
        <x:v>https://www.similarweb.com/corp/retail/</x:v>
      </x:c>
      <x:c r="D19" s="81" t="str">
        <x:v>2026-07-23</x:v>
      </x:c>
      <x:c r="E19" s="81" t="str">
        <x:v>Reference only; confirm current scope, price and transaction-use rights in writing.</x:v>
      </x:c>
    </x:row>
    <x:row r="20" ht="54" customHeight="1">
      <x:c r="A20" s="81" t="str">
        <x:v>Clarivate</x:v>
      </x:c>
      <x:c r="B20" s="81" t="str">
        <x:v>Darts-ip / Litigation Intelligence one-off search</x:v>
      </x:c>
      <x:c r="C20" s="125" t="str">
        <x:v>https://clarivate.com/intellectual-property/litigation-intelligence/</x:v>
      </x:c>
      <x:c r="D20" s="81" t="str">
        <x:v>2026-07-23</x:v>
      </x:c>
      <x:c r="E20" s="81" t="str">
        <x:v>Reference only; confirm current scope, price and transaction-use rights in writing.</x:v>
      </x:c>
    </x:row>
    <x:row r="21" ht="54" customHeight="1">
      <x:c r="A21" s="81" t="str">
        <x:v>Moody's Orbis or S&amp;P Capital IQ</x:v>
      </x:c>
      <x:c r="B21" s="81" t="str">
        <x:v>Company, ownership and financial data</x:v>
      </x:c>
      <x:c r="C21" s="125" t="str">
        <x:v>https://www.moodys.com/web/en/us/capabilities/company-reference-data/orbis.html</x:v>
      </x:c>
      <x:c r="D21" s="81" t="str">
        <x:v>2026-07-23</x:v>
      </x:c>
      <x:c r="E21" s="81" t="str">
        <x:v>Reference only; confirm current scope, price and transaction-use rights in writing.</x:v>
      </x:c>
    </x:row>
  </x:sheetData>
  <x:mergeCells>
    <x:mergeCell ref="A1:E2"/>
    <x:mergeCell ref="A3:E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5" hidden="0" customWidth="1"/>
    <x:col min="2" max="2" width="24" hidden="0" customWidth="1"/>
    <x:col min="3" max="3" width="35" hidden="0" customWidth="1"/>
    <x:col min="4" max="4" width="34" hidden="0" customWidth="1"/>
    <x:col min="5" max="5" width="11" hidden="0" customWidth="1"/>
    <x:col min="6" max="6" width="14" hidden="0" customWidth="1"/>
    <x:col min="7" max="7" width="14" hidden="0" customWidth="1"/>
    <x:col min="8" max="8" width="18" hidden="0" customWidth="1"/>
    <x:col min="9" max="9" width="17" hidden="0" customWidth="1"/>
    <x:col min="10" max="10" width="18" hidden="0" customWidth="1"/>
    <x:col min="11" max="11" width="13" hidden="0" customWidth="1"/>
    <x:col min="12" max="12" width="12" hidden="0" customWidth="1"/>
    <x:col min="13" max="13" width="11" hidden="0" customWidth="1"/>
    <x:col min="14" max="14" width="12" hidden="0" customWidth="1"/>
    <x:col min="15" max="15" width="12" hidden="0" customWidth="1"/>
    <x:col min="16" max="16" width="13" hidden="0" customWidth="1"/>
    <x:col min="17" max="17" width="14" hidden="0" customWidth="1"/>
    <x:col min="18" max="18" width="12" hidden="0" customWidth="1"/>
    <x:col min="19" max="19" width="12" hidden="0" customWidth="1"/>
    <x:col min="20" max="20" width="17" hidden="0" customWidth="1"/>
    <x:col min="21" max="21" width="15" hidden="0" customWidth="1"/>
    <x:col min="22" max="22" width="28" hidden="0" customWidth="1"/>
    <x:col min="23" max="23" width="45" hidden="0" customWidth="1"/>
    <x:col min="24" max="24" width="37" hidden="0" customWidth="1"/>
  </x:cols>
  <x:sheetData>
    <x:row r="1" ht="27" customHeight="1">
      <x:c r="A1" s="5" t="str">
        <x:v>Vendor response scorecard / Toimittajavastausten pisteytys</x:v>
      </x:c>
      <x:c r="B1" s="5"/>
      <x:c r="C1" s="5"/>
      <x:c r="D1" s="5"/>
      <x:c r="E1" s="5"/>
      <x:c r="F1" s="5"/>
      <x:c r="G1" s="5"/>
      <x:c r="H1" s="5"/>
      <x:c r="I1" s="5"/>
      <x:c r="J1" s="5"/>
      <x:c r="K1" s="5"/>
      <x:c r="L1" s="5"/>
      <x:c r="M1" s="5"/>
      <x:c r="N1" s="5"/>
      <x:c r="O1" s="5"/>
      <x:c r="P1" s="5"/>
      <x:c r="Q1" s="5"/>
      <x:c r="R1" s="5"/>
      <x:c r="S1" s="5"/>
      <x:c r="T1" s="5"/>
      <x:c r="U1" s="5"/>
      <x:c r="V1" s="5"/>
      <x:c r="W1" s="5"/>
      <x:c r="X1" s="5"/>
    </x:row>
    <x:row r="2" ht="27" customHeight="1">
      <x:c r="A2" s="5"/>
      <x:c r="B2" s="5"/>
      <x:c r="C2" s="5"/>
      <x:c r="D2" s="5"/>
      <x:c r="E2" s="5"/>
      <x:c r="F2" s="5"/>
      <x:c r="G2" s="5"/>
      <x:c r="H2" s="5"/>
      <x:c r="I2" s="5"/>
      <x:c r="J2" s="5"/>
      <x:c r="K2" s="5"/>
      <x:c r="L2" s="5"/>
      <x:c r="M2" s="5"/>
      <x:c r="N2" s="5"/>
      <x:c r="O2" s="5"/>
      <x:c r="P2" s="5"/>
      <x:c r="Q2" s="5"/>
      <x:c r="R2" s="5"/>
      <x:c r="S2" s="5"/>
      <x:c r="T2" s="5"/>
      <x:c r="U2" s="5"/>
      <x:c r="V2" s="5"/>
      <x:c r="W2" s="5"/>
      <x:c r="X2" s="5"/>
    </x:row>
    <x:row r="3" ht="28" customHeight="1">
      <x:c r="A3" s="9" t="str">
        <x:v>Evidence-gated comparison · Missing evidence is not zero · A response is not a score or purchase</x:v>
      </x:c>
      <x:c r="B3" s="9"/>
      <x:c r="C3" s="9"/>
      <x:c r="D3" s="9"/>
      <x:c r="E3" s="9"/>
      <x:c r="F3" s="9"/>
      <x:c r="G3" s="9"/>
      <x:c r="H3" s="9"/>
      <x:c r="I3" s="9"/>
      <x:c r="J3" s="9"/>
      <x:c r="K3" s="9"/>
      <x:c r="L3" s="9"/>
      <x:c r="M3" s="9"/>
      <x:c r="N3" s="9"/>
      <x:c r="O3" s="9"/>
      <x:c r="P3" s="9"/>
      <x:c r="Q3" s="9"/>
      <x:c r="R3" s="9"/>
      <x:c r="S3" s="9"/>
      <x:c r="T3" s="9"/>
      <x:c r="U3" s="9"/>
      <x:c r="V3" s="9"/>
      <x:c r="W3" s="9"/>
      <x:c r="X3" s="9"/>
    </x:row>
    <x:row r="5">
      <x:c r="A5" s="177" t="str">
        <x:v>CURRENT RELEASE: 4 VENDORS TRACKED · 1 VENDOR ROUTE WITH SUBSTANTIVE RESPONSES · 0 SCORED · 0 PURCHASES AUTHORISED
Keep every score blank until all six mandatory gates read PASS. A missing input is NOT SCORED, never a zero.
FI: NYKYJULKAISU: 4 TOIMITTAJAA SEURANNASSA · 1 TOIMITTAJAREITILLÄ SISÄLLÖLLISIÄ VASTAUKSIA · 0 PISTEYTETTY · 0 OSTOVALTUUTTA. Pidä pisteet tyhjinä, kunnes kaikki kuusi pakollista porttia ovat PASS-tilassa. Puuttuva tieto tarkoittaa EI PISTEYTETTY, ei nollaa.</x:v>
      </x:c>
      <x:c r="B5" s="178"/>
      <x:c r="C5" s="178"/>
      <x:c r="D5" s="178"/>
      <x:c r="E5" s="178"/>
      <x:c r="F5" s="178"/>
      <x:c r="G5" s="178"/>
      <x:c r="H5" s="178"/>
      <x:c r="I5" s="178"/>
      <x:c r="J5" s="178"/>
      <x:c r="K5" s="178"/>
      <x:c r="L5" s="178"/>
      <x:c r="M5" s="178"/>
      <x:c r="N5" s="178"/>
      <x:c r="O5" s="178"/>
      <x:c r="P5" s="178"/>
      <x:c r="Q5" s="178"/>
      <x:c r="R5" s="178"/>
      <x:c r="S5" s="178"/>
      <x:c r="T5" s="178"/>
      <x:c r="U5" s="178"/>
      <x:c r="V5" s="178"/>
      <x:c r="W5" s="178"/>
      <x:c r="X5" s="179"/>
    </x:row>
    <x:row r="6">
      <x:c r="A6" s="180"/>
      <x:c r="B6" s="181"/>
      <x:c r="C6" s="181"/>
      <x:c r="D6" s="181"/>
      <x:c r="E6" s="181"/>
      <x:c r="F6" s="181"/>
      <x:c r="G6" s="181"/>
      <x:c r="H6" s="181"/>
      <x:c r="I6" s="181"/>
      <x:c r="J6" s="181"/>
      <x:c r="K6" s="181"/>
      <x:c r="L6" s="181"/>
      <x:c r="M6" s="181"/>
      <x:c r="N6" s="181"/>
      <x:c r="O6" s="181"/>
      <x:c r="P6" s="181"/>
      <x:c r="Q6" s="181"/>
      <x:c r="R6" s="181"/>
      <x:c r="S6" s="181"/>
      <x:c r="T6" s="181"/>
      <x:c r="U6" s="181"/>
      <x:c r="V6" s="181"/>
      <x:c r="W6" s="181"/>
      <x:c r="X6" s="182"/>
    </x:row>
    <x:row r="7">
      <x:c r="A7" s="183"/>
      <x:c r="B7" s="184"/>
      <x:c r="C7" s="184"/>
      <x:c r="D7" s="184"/>
      <x:c r="E7" s="184"/>
      <x:c r="F7" s="184"/>
      <x:c r="G7" s="184"/>
      <x:c r="H7" s="184"/>
      <x:c r="I7" s="184"/>
      <x:c r="J7" s="184"/>
      <x:c r="K7" s="184"/>
      <x:c r="L7" s="184"/>
      <x:c r="M7" s="184"/>
      <x:c r="N7" s="184"/>
      <x:c r="O7" s="184"/>
      <x:c r="P7" s="184"/>
      <x:c r="Q7" s="184"/>
      <x:c r="R7" s="184"/>
      <x:c r="S7" s="184"/>
      <x:c r="T7" s="184"/>
      <x:c r="U7" s="184"/>
      <x:c r="V7" s="184"/>
      <x:c r="W7" s="184"/>
      <x:c r="X7" s="185"/>
    </x:row>
    <x:row r="9">
      <x:c r="A9" s="186" t="str">
        <x:v>Legend / Selite</x:v>
      </x:c>
      <x:c r="B9" s="186"/>
      <x:c r="C9" s="186"/>
      <x:c r="D9" s="186"/>
      <x:c r="E9" s="186"/>
      <x:c r="F9" s="186"/>
      <x:c r="H9" s="190" t="str">
        <x:v>Gate states / Porttien tilat</x:v>
      </x:c>
      <x:c r="I9" s="190"/>
      <x:c r="J9" s="190"/>
      <x:c r="K9" s="190"/>
      <x:c r="L9" s="190"/>
      <x:c r="N9" s="190" t="str">
        <x:v>Score rule / Pisteytyssääntö</x:v>
      </x:c>
      <x:c r="O9" s="190"/>
      <x:c r="P9" s="190"/>
      <x:c r="Q9" s="190"/>
      <x:c r="R9" s="190"/>
      <x:c r="S9" s="190"/>
      <x:c r="T9" s="190"/>
      <x:c r="U9" s="190"/>
      <x:c r="V9" s="190"/>
      <x:c r="W9" s="190"/>
      <x:c r="X9" s="190"/>
    </x:row>
    <x:row r="10">
      <x:c r="A10" s="187" t="str">
        <x:v>Blue font</x:v>
      </x:c>
      <x:c r="B10" s="80" t="str">
        <x:v>Editable input</x:v>
      </x:c>
      <x:c r="C10" s="188" t="str">
        <x:v>Black font</x:v>
      </x:c>
      <x:c r="D10" s="80" t="str">
        <x:v>Formula</x:v>
      </x:c>
      <x:c r="E10" s="189" t="str">
        <x:v>Green font</x:v>
      </x:c>
      <x:c r="F10" s="80" t="str">
        <x:v>Cross-sheet link</x:v>
      </x:c>
      <x:c r="H10" s="80" t="str">
        <x:v>OPEN = missing</x:v>
      </x:c>
      <x:c r="I10" s="80" t="str">
        <x:v>PASS = evidenced</x:v>
      </x:c>
      <x:c r="J10" s="80" t="str">
        <x:v>FAIL = rejected</x:v>
      </x:c>
      <x:c r="K10" s="80" t="str"/>
      <x:c r="L10" s="80" t="str">
        <x:v>Only PASS closes a gate</x:v>
      </x:c>
      <x:c r="N10" s="80" t="str">
        <x:v>0–5 inputs are accepted only after every gate is PASS. Weighted score remains blank until then. FI: Pisteet 0–5 syötetään vasta, kun kaikki portit ovat PASS-tilassa; painotettu tulos pysyy siihen saakka tyhjänä.</x:v>
      </x:c>
      <x:c r="O10" s="80"/>
      <x:c r="P10" s="80"/>
      <x:c r="Q10" s="80"/>
      <x:c r="R10" s="80"/>
      <x:c r="S10" s="80"/>
      <x:c r="T10" s="80"/>
      <x:c r="U10" s="80"/>
      <x:c r="V10" s="80"/>
      <x:c r="W10" s="80"/>
      <x:c r="X10" s="80"/>
    </x:row>
    <x:row r="13">
      <x:c r="A13" s="74" t="str">
        <x:v>Vendor ID</x:v>
      </x:c>
      <x:c r="B13" s="74" t="str">
        <x:v>Vendor</x:v>
      </x:c>
      <x:c r="C13" s="74" t="str">
        <x:v>Product</x:v>
      </x:c>
      <x:c r="D13" s="74" t="str">
        <x:v>Public outreach state</x:v>
      </x:c>
      <x:c r="E13" s="74" t="str">
        <x:v>Sample</x:v>
      </x:c>
      <x:c r="F13" s="74" t="str">
        <x:v>Data dictionary / method</x:v>
      </x:c>
      <x:c r="G13" s="74" t="str">
        <x:v>Coverage matrix</x:v>
      </x:c>
      <x:c r="H13" s="74" t="str">
        <x:v>Official-anchor reconciliation</x:v>
      </x:c>
      <x:c r="I13" s="74" t="str">
        <x:v>Transaction-use rights</x:v>
      </x:c>
      <x:c r="J13" s="74" t="str">
        <x:v>Total cost / no auto-renew</x:v>
      </x:c>
      <x:c r="K13" s="74" t="str">
        <x:v>Annual country series</x:v>
      </x:c>
      <x:c r="L13" s="74" t="str">
        <x:v>Metric / scope</x:v>
      </x:c>
      <x:c r="M13" s="74" t="str">
        <x:v>Coverage</x:v>
      </x:c>
      <x:c r="N13" s="74" t="str">
        <x:v>Methodology</x:v>
      </x:c>
      <x:c r="O13" s="74" t="str">
        <x:v>Audit trail</x:v>
      </x:c>
      <x:c r="P13" s="74" t="str">
        <x:v>Licence rights</x:v>
      </x:c>
      <x:c r="Q13" s="74" t="str">
        <x:v>Commercial clarity</x:v>
      </x:c>
      <x:c r="R13" s="74" t="str">
        <x:v>Gates passed</x:v>
      </x:c>
      <x:c r="S13" s="74" t="str">
        <x:v>Score inputs</x:v>
      </x:c>
      <x:c r="T13" s="74" t="str">
        <x:v>Readiness</x:v>
      </x:c>
      <x:c r="U13" s="74" t="str">
        <x:v>Weighted score (0–5)</x:v>
      </x:c>
      <x:c r="V13" s="74" t="str">
        <x:v>Reviewer note</x:v>
      </x:c>
      <x:c r="W13" s="74" t="str">
        <x:v>Source link</x:v>
      </x:c>
      <x:c r="X13" s="74" t="str">
        <x:v>Public boundary note</x:v>
      </x:c>
    </x:row>
    <x:row r="14" ht="84" customHeight="1">
      <x:c r="A14" s="80" t="str">
        <x:v>ecig-global-market-database</x:v>
      </x:c>
      <x:c r="B14" s="80" t="str">
        <x:v>ECigIntelligence</x:v>
      </x:c>
      <x:c r="C14" s="80" t="str">
        <x:v>Global Market Database</x:v>
      </x:c>
      <x:c r="D14" s="80" t="str">
        <x:v>REQUEST + FOLLOW-UP SENT · RESPONSE PENDING · NOT SCORED
FI: PYYNTÖ + SEURANTA LÄHETETTY · VASTAUS ODOTTAA · EI PISTEYTETTY</x:v>
      </x:c>
      <x:c r="E14" s="191" t="str">
        <x:v>OPEN</x:v>
      </x:c>
      <x:c r="F14" s="191" t="str">
        <x:v>OPEN</x:v>
      </x:c>
      <x:c r="G14" s="191" t="str">
        <x:v>OPEN</x:v>
      </x:c>
      <x:c r="H14" s="191" t="str">
        <x:v>OPEN</x:v>
      </x:c>
      <x:c r="I14" s="191" t="str">
        <x:v>OPEN</x:v>
      </x:c>
      <x:c r="J14" s="191" t="str">
        <x:v>OPEN</x:v>
      </x:c>
      <x:c r="K14" s="191"/>
      <x:c r="L14" s="191"/>
      <x:c r="M14" s="191"/>
      <x:c r="N14" s="191"/>
      <x:c r="O14" s="191"/>
      <x:c r="P14" s="191"/>
      <x:c r="Q14" s="191"/>
      <x:c r="R14" s="193" t="str">
        <x:f>COUNTIF(E14:J14,"PASS")&amp;"/6"</x:f>
        <x:v>0/6</x:v>
      </x:c>
      <x:c r="S14" s="193" t="str">
        <x:f>COUNT(K14:Q14)&amp;"/7"</x:f>
        <x:v>0/7</x:v>
      </x:c>
      <x:c r="T14" s="193" t="str">
        <x:f>IF(AND(COUNTIF(E14:J14,"PASS")=6,COUNT(K14:Q14)=7),"READY TO SCORE","NOT SCORED")</x:f>
        <x:v>NOT SCORED</x:v>
      </x:c>
      <x:c r="U14" s="197" t="str">
        <x:f>IF(T14="READY TO SCORE",ROUND(K14*$B$25+L14*$B$26+M14*$B$27+N14*$B$28+O14*$B$29+P14*$B$30+Q14*$B$31,2),"")</x:f>
      </x:c>
      <x:c r="V14" s="191" t="str"/>
      <x:c r="W14" s="195" t="str">
        <x:f>'Sources'!C6</x:f>
        <x:v>https://ecigintelligence.com/product-category/premium-data-bundles/</x:v>
      </x:c>
      <x:c r="X14" s="80" t="str">
        <x:v>Status only. Request sent 2026-07-23 and first follow-up sent 2026-07-28. No response, sample, quote, data, method, coverage, licence, price or commitment is recorded. NOT SCORED; no purchase is authorised.</x:v>
      </x:c>
    </x:row>
    <x:row r="15" ht="84" customHeight="1">
      <x:c r="A15" s="81" t="str">
        <x:v>euromonitor-passport-nicotine</x:v>
      </x:c>
      <x:c r="B15" s="81" t="str">
        <x:v>Euromonitor International</x:v>
      </x:c>
      <x:c r="C15" s="81" t="str">
        <x:v>Passport Nicotine / e-vapour country series</x:v>
      </x:c>
      <x:c r="D15" s="81" t="str">
        <x:v>CALL COMPLETED + CONDITIONAL PAID GERMANY EXTRACT OFFERED · NOT ACCEPTED · 0/6 GATES PASS · NOT SCORED
FI: PUHELU PIDETTY + EHDOLLINEN MAKSULLINEN SAKSA-OTE TARJOTTU · EI HYVÄKSYTTY · 0/6 PORTTIA LÄPÄISTY · EI PISTEYTETTY</x:v>
      </x:c>
      <x:c r="E15" s="192" t="str">
        <x:v>OPEN</x:v>
      </x:c>
      <x:c r="F15" s="192" t="str">
        <x:v>OPEN</x:v>
      </x:c>
      <x:c r="G15" s="192" t="str">
        <x:v>OPEN</x:v>
      </x:c>
      <x:c r="H15" s="192" t="str">
        <x:v>OPEN</x:v>
      </x:c>
      <x:c r="I15" s="192" t="str">
        <x:v>OPEN</x:v>
      </x:c>
      <x:c r="J15" s="192" t="str">
        <x:v>OPEN</x:v>
      </x:c>
      <x:c r="K15" s="192"/>
      <x:c r="L15" s="192"/>
      <x:c r="M15" s="192"/>
      <x:c r="N15" s="192"/>
      <x:c r="O15" s="192"/>
      <x:c r="P15" s="192"/>
      <x:c r="Q15" s="192"/>
      <x:c r="R15" s="194" t="str">
        <x:f>COUNTIF(E15:J15,"PASS")&amp;"/6"</x:f>
        <x:v>0/6</x:v>
      </x:c>
      <x:c r="S15" s="194" t="str">
        <x:f>COUNT(K15:Q15)&amp;"/7"</x:f>
        <x:v>0/7</x:v>
      </x:c>
      <x:c r="T15" s="194" t="str">
        <x:f>IF(AND(COUNTIF(E15:J15,"PASS")=6,COUNT(K15:Q15)=7),"READY TO SCORE","NOT SCORED")</x:f>
        <x:v>NOT SCORED</x:v>
      </x:c>
      <x:c r="U15" s="198" t="str">
        <x:f>IF(T15="READY TO SCORE",ROUND(K15*$B$25+L15*$B$26+M15*$B$27+N15*$B$28+O15*$B$29+P15*$B$30+Q15*$B$31,2),"")</x:f>
      </x:c>
      <x:c r="V15" s="192" t="str"/>
      <x:c r="W15" s="196" t="str">
        <x:f>'Sources'!C9</x:f>
        <x:v>https://www.euromonitor.com/smokeless-tobacco-e-vapour-products-and-heated-tobacco-in-denmark/report</x:v>
      </x:c>
      <x:c r="X15" s="81" t="str">
        <x:v>Status only. A conditional paid Germany extract was offered after the 2026-07-29 call. It has not been accepted or activated; no order, invoice, fee, subscription or commitment is authorised. Product scope, transaction-stage reconciliation, current Germany coverage, rights and all-in terms remain open. NOT SCORED; 0/6 gates pass.</x:v>
      </x:c>
    </x:row>
    <x:row r="16" ht="84" customHeight="1">
      <x:c r="A16" s="81" t="str">
        <x:v>niq-rms-pilot</x:v>
      </x:c>
      <x:c r="B16" s="81" t="str">
        <x:v>NielsenIQ</x:v>
      </x:c>
      <x:c r="C16" s="81" t="str">
        <x:v>Retail Measurement Services pilot</x:v>
      </x:c>
      <x:c r="D16" s="81" t="str">
        <x:v>NOT SUBMITTED · TERMS GATE
FI: EI LÄHETETTY · EHTOPORTTI</x:v>
      </x:c>
      <x:c r="E16" s="192" t="str">
        <x:v>OPEN</x:v>
      </x:c>
      <x:c r="F16" s="192" t="str">
        <x:v>OPEN</x:v>
      </x:c>
      <x:c r="G16" s="192" t="str">
        <x:v>OPEN</x:v>
      </x:c>
      <x:c r="H16" s="192" t="str">
        <x:v>OPEN</x:v>
      </x:c>
      <x:c r="I16" s="192" t="str">
        <x:v>OPEN</x:v>
      </x:c>
      <x:c r="J16" s="192" t="str">
        <x:v>OPEN</x:v>
      </x:c>
      <x:c r="K16" s="192"/>
      <x:c r="L16" s="192"/>
      <x:c r="M16" s="192"/>
      <x:c r="N16" s="192"/>
      <x:c r="O16" s="192"/>
      <x:c r="P16" s="192"/>
      <x:c r="Q16" s="192"/>
      <x:c r="R16" s="194" t="str">
        <x:f>COUNTIF(E16:J16,"PASS")&amp;"/6"</x:f>
        <x:v>0/6</x:v>
      </x:c>
      <x:c r="S16" s="194" t="str">
        <x:f>COUNT(K16:Q16)&amp;"/7"</x:f>
        <x:v>0/7</x:v>
      </x:c>
      <x:c r="T16" s="194" t="str">
        <x:f>IF(AND(COUNTIF(E16:J16,"PASS")=6,COUNT(K16:Q16)=7),"READY TO SCORE","NOT SCORED")</x:f>
        <x:v>NOT SCORED</x:v>
      </x:c>
      <x:c r="U16" s="198" t="str">
        <x:f>IF(T16="READY TO SCORE",ROUND(K16*$B$25+L16*$B$26+M16*$B$27+N16*$B$28+O16*$B$29+P16*$B$30+Q16*$B$31,2),"")</x:f>
      </x:c>
      <x:c r="V16" s="192" t="str"/>
      <x:c r="W16" s="196" t="str">
        <x:f>'Sources'!C12</x:f>
        <x:v>https://nielseniq.com/global/en/products/retail-measurement-services-rms/</x:v>
      </x:c>
      <x:c r="X16" s="81" t="str">
        <x:v>Status only. No response content or unlicensed data.</x:v>
      </x:c>
    </x:row>
    <x:row r="17" ht="84" customHeight="1">
      <x:c r="A17" s="81" t="str">
        <x:v>circana-us-tobacco-pilot</x:v>
      </x:c>
      <x:c r="B17" s="81" t="str">
        <x:v>Circana</x:v>
      </x:c>
      <x:c r="C17" s="81" t="str">
        <x:v>US Tobacco POS pilot</x:v>
      </x:c>
      <x:c r="D17" s="81" t="str">
        <x:v>FOLLOW-UP SENT 2026-07-28 · SAMPLE + QUOTE PENDING · NOT SCORED
FI: SEURANTA LÄHETETTY 28.7.2026 · NÄYTE + TARJOUS ODOTTAVAT · EI PISTEYTETTY</x:v>
      </x:c>
      <x:c r="E17" s="192" t="str">
        <x:v>OPEN</x:v>
      </x:c>
      <x:c r="F17" s="192" t="str">
        <x:v>OPEN</x:v>
      </x:c>
      <x:c r="G17" s="192" t="str">
        <x:v>OPEN</x:v>
      </x:c>
      <x:c r="H17" s="192" t="str">
        <x:v>OPEN</x:v>
      </x:c>
      <x:c r="I17" s="192" t="str">
        <x:v>OPEN</x:v>
      </x:c>
      <x:c r="J17" s="192" t="str">
        <x:v>OPEN</x:v>
      </x:c>
      <x:c r="K17" s="192"/>
      <x:c r="L17" s="192"/>
      <x:c r="M17" s="192"/>
      <x:c r="N17" s="192"/>
      <x:c r="O17" s="192"/>
      <x:c r="P17" s="192"/>
      <x:c r="Q17" s="192"/>
      <x:c r="R17" s="194" t="str">
        <x:f>COUNTIF(E17:J17,"PASS")&amp;"/6"</x:f>
        <x:v>0/6</x:v>
      </x:c>
      <x:c r="S17" s="194" t="str">
        <x:f>COUNT(K17:Q17)&amp;"/7"</x:f>
        <x:v>0/7</x:v>
      </x:c>
      <x:c r="T17" s="194" t="str">
        <x:f>IF(AND(COUNTIF(E17:J17,"PASS")=6,COUNT(K17:Q17)=7),"READY TO SCORE","NOT SCORED")</x:f>
        <x:v>NOT SCORED</x:v>
      </x:c>
      <x:c r="U17" s="198" t="str">
        <x:f>IF(T17="READY TO SCORE",ROUND(K17*$B$25+L17*$B$26+M17*$B$27+N17*$B$28+O17*$B$29+P17*$B$30+Q17*$B$31,2),"")</x:f>
      </x:c>
      <x:c r="V17" s="192" t="str"/>
      <x:c r="W17" s="196" t="str">
        <x:f>'Sources'!C13</x:f>
        <x:v>https://www.circana.com/industries/tobacco</x:v>
      </x:c>
      <x:c r="X17" s="81" t="str">
        <x:v>Status only. A direct follow-up requested a United States retail sample, channel and method details, a non-binding minimum configuration and transaction-use rights. A substantive sample and quote remain pending. NOT SCORED; no purchase or other commitment is authorised.</x:v>
      </x:c>
    </x:row>
    <x:row r="20">
      <x:c r="A20" s="69" t="str">
        <x:v>Transparent criteria and weights / Läpinäkyvät kriteerit ja painot</x:v>
      </x:c>
      <x:c r="B20" s="69"/>
      <x:c r="C20" s="69"/>
      <x:c r="D20" s="69"/>
      <x:c r="F20" s="69" t="str">
        <x:v>Mandatory gates / Pakolliset portit</x:v>
      </x:c>
      <x:c r="G20" s="69"/>
      <x:c r="H20" s="69"/>
      <x:c r="I20" s="69"/>
      <x:c r="J20" s="69"/>
      <x:c r="K20" s="69"/>
      <x:c r="L20" s="69"/>
      <x:c r="M20" s="69"/>
      <x:c r="N20" s="69"/>
      <x:c r="O20" s="69"/>
      <x:c r="P20" s="69"/>
      <x:c r="Q20" s="69"/>
      <x:c r="R20" s="69"/>
      <x:c r="S20" s="69"/>
      <x:c r="T20" s="69"/>
      <x:c r="U20" s="69"/>
      <x:c r="V20" s="69"/>
      <x:c r="W20" s="69"/>
      <x:c r="X20" s="69"/>
    </x:row>
    <x:row r="21">
      <x:c r="A21" s="212" t="str">
        <x:v>Scores measure evidence utility, not vendor integrity. The public file contains no correspondence, sender identity, exact timestamps, messaging metadata, private storage references or unlicensed vendor data.
FI: Pisteytys mittaa evidenssihyötyä, ei toimittajan luotettavuutta. Julkinen tiedosto ei sisällä viestinvaihtoa, lähettäjätietoja, tarkkoja aikaleimoja, viestitunnisteita, yksityisiä polkuja eikä lisensoimatonta toimittajadataa.</x:v>
      </x:c>
      <x:c r="B21" s="213"/>
      <x:c r="C21" s="213"/>
      <x:c r="D21" s="213"/>
      <x:c r="E21" s="213"/>
      <x:c r="F21" s="213"/>
      <x:c r="G21" s="213"/>
      <x:c r="H21" s="213"/>
      <x:c r="I21" s="213"/>
      <x:c r="J21" s="213"/>
      <x:c r="K21" s="213"/>
      <x:c r="L21" s="213"/>
      <x:c r="M21" s="213"/>
      <x:c r="N21" s="213"/>
      <x:c r="O21" s="213"/>
      <x:c r="P21" s="213"/>
      <x:c r="Q21" s="213"/>
      <x:c r="R21" s="213"/>
      <x:c r="S21" s="213"/>
      <x:c r="T21" s="213"/>
      <x:c r="U21" s="213"/>
      <x:c r="V21" s="213"/>
      <x:c r="W21" s="213"/>
      <x:c r="X21" s="214"/>
    </x:row>
    <x:row r="22">
      <x:c r="A22" s="215"/>
      <x:c r="B22" s="216"/>
      <x:c r="C22" s="216"/>
      <x:c r="D22" s="216"/>
      <x:c r="E22" s="216"/>
      <x:c r="F22" s="216"/>
      <x:c r="G22" s="216"/>
      <x:c r="H22" s="216"/>
      <x:c r="I22" s="216"/>
      <x:c r="J22" s="216"/>
      <x:c r="K22" s="216"/>
      <x:c r="L22" s="216"/>
      <x:c r="M22" s="216"/>
      <x:c r="N22" s="216"/>
      <x:c r="O22" s="216"/>
      <x:c r="P22" s="216"/>
      <x:c r="Q22" s="216"/>
      <x:c r="R22" s="216"/>
      <x:c r="S22" s="216"/>
      <x:c r="T22" s="216"/>
      <x:c r="U22" s="216"/>
      <x:c r="V22" s="216"/>
      <x:c r="W22" s="216"/>
      <x:c r="X22" s="217"/>
    </x:row>
    <x:row r="24">
      <x:c r="A24" s="74" t="str">
        <x:v>Criterion / Kriteeri</x:v>
      </x:c>
      <x:c r="B24" s="74" t="str">
        <x:v>Weight / Paino</x:v>
      </x:c>
      <x:c r="C24" s="74" t="str">
        <x:v>Required evidence / Vaadittu näyttö</x:v>
      </x:c>
      <x:c r="D24" s="74" t="str">
        <x:v>Score anchor / Pisteankkuri</x:v>
      </x:c>
      <x:c r="F24" s="74" t="str">
        <x:v>Gate ID</x:v>
      </x:c>
      <x:c r="G24" s="74" t="str">
        <x:v>Gate / Portti</x:v>
      </x:c>
      <x:c r="H24" s="74" t="str"/>
      <x:c r="I24" s="74" t="str"/>
      <x:c r="J24" s="74" t="str"/>
      <x:c r="K24" s="74" t="str"/>
      <x:c r="L24" s="74" t="str">
        <x:v>Acceptance threshold / Hyväksymisraja</x:v>
      </x:c>
      <x:c r="M24" s="74" t="str"/>
      <x:c r="N24" s="74" t="str"/>
      <x:c r="O24" s="74" t="str"/>
      <x:c r="P24" s="74" t="str"/>
      <x:c r="Q24" s="74" t="str"/>
      <x:c r="R24" s="74" t="str"/>
      <x:c r="S24" s="74" t="str"/>
      <x:c r="T24" s="74" t="str"/>
      <x:c r="U24" s="74" t="str"/>
      <x:c r="V24" s="74" t="str"/>
      <x:c r="W24" s="74" t="str"/>
      <x:c r="X24" s="74" t="str"/>
    </x:row>
    <x:row r="25" ht="54" customHeight="1">
      <x:c r="A25" s="80" t="str">
        <x:v>Annual country-series fit
FI: Sopivuus vuosittaiseen maasarjaan</x:v>
      </x:c>
      <x:c r="B25" s="82" t="n">
        <x:v>0.2</x:v>
      </x:c>
      <x:c r="C25" s="80" t="str">
        <x:v>Country × year observations can support an annual sales series.</x:v>
      </x:c>
      <x:c r="D25" s="80" t="str">
        <x:v>0 = unsuitable · 3 = usable with limits · 5 = decision-grade</x:v>
      </x:c>
      <x:c r="F25" s="80" t="str">
        <x:v>sample</x:v>
      </x:c>
      <x:c r="G25" s="80" t="str">
        <x:v>Review sample
FI: Tarkistusnäyte</x:v>
      </x:c>
      <x:c r="H25" s="80"/>
      <x:c r="I25" s="80"/>
      <x:c r="J25" s="80"/>
      <x:c r="K25" s="80"/>
      <x:c r="L25" s="80" t="str">
        <x:v>Representative rows with values, units and definitions.</x:v>
      </x:c>
      <x:c r="M25" s="80"/>
      <x:c r="N25" s="80"/>
      <x:c r="O25" s="80"/>
      <x:c r="P25" s="80"/>
      <x:c r="Q25" s="80"/>
      <x:c r="R25" s="80"/>
      <x:c r="S25" s="80"/>
      <x:c r="T25" s="80"/>
      <x:c r="U25" s="80"/>
      <x:c r="V25" s="80"/>
      <x:c r="W25" s="80"/>
      <x:c r="X25" s="80"/>
    </x:row>
    <x:row r="26" ht="54" customHeight="1">
      <x:c r="A26" s="81" t="str">
        <x:v>Metric and scope clarity
FI: Mittarin ja rajauksen selkeys</x:v>
      </x:c>
      <x:c r="B26" s="83" t="n">
        <x:v>0.15</x:v>
      </x:c>
      <x:c r="C26" s="81" t="str">
        <x:v>Value, volume, tax basis, channels and product definitions are explicit.</x:v>
      </x:c>
      <x:c r="D26" s="81" t="str">
        <x:v>0 = unsuitable · 3 = usable with limits · 5 = decision-grade</x:v>
      </x:c>
      <x:c r="F26" s="80" t="str">
        <x:v>method</x:v>
      </x:c>
      <x:c r="G26" s="80" t="str">
        <x:v>Data dictionary and method
FI: Datamäärittely ja menetelmä</x:v>
      </x:c>
      <x:c r="H26" s="80"/>
      <x:c r="I26" s="80"/>
      <x:c r="J26" s="80"/>
      <x:c r="K26" s="80"/>
      <x:c r="L26" s="80" t="str">
        <x:v>Definitions, methods, modelling and quality controls documented.</x:v>
      </x:c>
      <x:c r="M26" s="80"/>
      <x:c r="N26" s="80"/>
      <x:c r="O26" s="80"/>
      <x:c r="P26" s="80"/>
      <x:c r="Q26" s="80"/>
      <x:c r="R26" s="80"/>
      <x:c r="S26" s="80"/>
      <x:c r="T26" s="80"/>
      <x:c r="U26" s="80"/>
      <x:c r="V26" s="80"/>
      <x:c r="W26" s="80"/>
      <x:c r="X26" s="80"/>
    </x:row>
    <x:row r="27" ht="54" customHeight="1">
      <x:c r="A27" s="81" t="str">
        <x:v>Country, year and product coverage
FI: Maa-, vuosi- ja tuotekattavuus</x:v>
      </x:c>
      <x:c r="B27" s="83" t="n">
        <x:v>0.15</x:v>
      </x:c>
      <x:c r="C27" s="81" t="str">
        <x:v>Coverage matrix identifies countries, years, devices and e-liquids.</x:v>
      </x:c>
      <x:c r="D27" s="81" t="str">
        <x:v>0 = unsuitable · 3 = usable with limits · 5 = decision-grade</x:v>
      </x:c>
      <x:c r="F27" s="80" t="str">
        <x:v>coverage</x:v>
      </x:c>
      <x:c r="G27" s="80" t="str">
        <x:v>Coverage matrix
FI: Kattavuusmatriisi</x:v>
      </x:c>
      <x:c r="H27" s="80"/>
      <x:c r="I27" s="80"/>
      <x:c r="J27" s="80"/>
      <x:c r="K27" s="80"/>
      <x:c r="L27" s="80" t="str">
        <x:v>Countries, years, products and measures listed.</x:v>
      </x:c>
      <x:c r="M27" s="80"/>
      <x:c r="N27" s="80"/>
      <x:c r="O27" s="80"/>
      <x:c r="P27" s="80"/>
      <x:c r="Q27" s="80"/>
      <x:c r="R27" s="80"/>
      <x:c r="S27" s="80"/>
      <x:c r="T27" s="80"/>
      <x:c r="U27" s="80"/>
      <x:c r="V27" s="80"/>
      <x:c r="W27" s="80"/>
      <x:c r="X27" s="80"/>
    </x:row>
    <x:row r="28" ht="54" customHeight="1">
      <x:c r="A28" s="81" t="str">
        <x:v>Methodology transparency
FI: Menetelmän läpinäkyvyys</x:v>
      </x:c>
      <x:c r="B28" s="83" t="n">
        <x:v>0.15</x:v>
      </x:c>
      <x:c r="C28" s="81" t="str">
        <x:v>Primary inputs, modelling, imputation and quality controls are reviewable.</x:v>
      </x:c>
      <x:c r="D28" s="81" t="str">
        <x:v>0 = unsuitable · 3 = usable with limits · 5 = decision-grade</x:v>
      </x:c>
      <x:c r="F28" s="80" t="str">
        <x:v>anchor</x:v>
      </x:c>
      <x:c r="G28" s="80" t="str">
        <x:v>Official-anchor reconciliation
FI: Täsmäytys viralliseen vertailupisteeseen</x:v>
      </x:c>
      <x:c r="H28" s="80"/>
      <x:c r="I28" s="80"/>
      <x:c r="J28" s="80"/>
      <x:c r="K28" s="80"/>
      <x:c r="L28" s="80" t="str">
        <x:v>One country-year reconciles to a reviewable official anchor.</x:v>
      </x:c>
      <x:c r="M28" s="80"/>
      <x:c r="N28" s="80"/>
      <x:c r="O28" s="80"/>
      <x:c r="P28" s="80"/>
      <x:c r="Q28" s="80"/>
      <x:c r="R28" s="80"/>
      <x:c r="S28" s="80"/>
      <x:c r="T28" s="80"/>
      <x:c r="U28" s="80"/>
      <x:c r="V28" s="80"/>
      <x:c r="W28" s="80"/>
      <x:c r="X28" s="80"/>
    </x:row>
    <x:row r="29" ht="54" customHeight="1">
      <x:c r="A29" s="81" t="str">
        <x:v>Reproducibility, export and audit trail
FI: Toistettavuus, vienti ja auditointijälki</x:v>
      </x:c>
      <x:c r="B29" s="83" t="n">
        <x:v>0.1</x:v>
      </x:c>
      <x:c r="C29" s="81" t="str">
        <x:v>Export preserves units, provenance and enough detail for reconciliation.</x:v>
      </x:c>
      <x:c r="D29" s="81" t="str">
        <x:v>0 = unsuitable · 3 = usable with limits · 5 = decision-grade</x:v>
      </x:c>
      <x:c r="F29" s="80" t="str">
        <x:v>rights</x:v>
      </x:c>
      <x:c r="G29" s="80" t="str">
        <x:v>Transaction-use rights
FI: Transaktiokäyttöoikeudet</x:v>
      </x:c>
      <x:c r="H29" s="80"/>
      <x:c r="I29" s="80"/>
      <x:c r="J29" s="80"/>
      <x:c r="K29" s="80"/>
      <x:c r="L29" s="80" t="str">
        <x:v>Written lender, M&amp;A and data-room use rights.</x:v>
      </x:c>
      <x:c r="M29" s="80"/>
      <x:c r="N29" s="80"/>
      <x:c r="O29" s="80"/>
      <x:c r="P29" s="80"/>
      <x:c r="Q29" s="80"/>
      <x:c r="R29" s="80"/>
      <x:c r="S29" s="80"/>
      <x:c r="T29" s="80"/>
      <x:c r="U29" s="80"/>
      <x:c r="V29" s="80"/>
      <x:c r="W29" s="80"/>
      <x:c r="X29" s="80"/>
    </x:row>
    <x:row r="30" ht="54" customHeight="1">
      <x:c r="A30" s="81" t="str">
        <x:v>Lender, M&amp;A and data-room licence rights
FI: Rahoittaja-, M&amp;A- ja dataroom-lisenssioikeudet</x:v>
      </x:c>
      <x:c r="B30" s="83" t="n">
        <x:v>0.15</x:v>
      </x:c>
      <x:c r="C30" s="81" t="str">
        <x:v>Written rights cover the intended financing and transaction review.</x:v>
      </x:c>
      <x:c r="D30" s="81" t="str">
        <x:v>0 = unsuitable · 3 = usable with limits · 5 = decision-grade</x:v>
      </x:c>
      <x:c r="F30" s="80" t="str">
        <x:v>commercial</x:v>
      </x:c>
      <x:c r="G30" s="80" t="str">
        <x:v>Total cost and no auto-renew
FI: Kokonaiskustannus ja ei automaattista uusintaa</x:v>
      </x:c>
      <x:c r="H30" s="80"/>
      <x:c r="I30" s="80"/>
      <x:c r="J30" s="80"/>
      <x:c r="K30" s="80"/>
      <x:c r="L30" s="80" t="str">
        <x:v>Total cost, term and renewal mechanics documented.</x:v>
      </x:c>
      <x:c r="M30" s="80"/>
      <x:c r="N30" s="80"/>
      <x:c r="O30" s="80"/>
      <x:c r="P30" s="80"/>
      <x:c r="Q30" s="80"/>
      <x:c r="R30" s="80"/>
      <x:c r="S30" s="80"/>
      <x:c r="T30" s="80"/>
      <x:c r="U30" s="80"/>
      <x:c r="V30" s="80"/>
      <x:c r="W30" s="80"/>
      <x:c r="X30" s="80"/>
    </x:row>
    <x:row r="31" ht="54" customHeight="1">
      <x:c r="A31" s="81" t="str">
        <x:v>Price, update and renewal clarity
FI: Hinnan, päivitysten ja uusinnan selkeys</x:v>
      </x:c>
      <x:c r="B31" s="83" t="n">
        <x:v>0.1</x:v>
      </x:c>
      <x:c r="C31" s="81" t="str">
        <x:v>Total cost, users, exports, updates, term and renewal are explicit.</x:v>
      </x:c>
      <x:c r="D31" s="81" t="str">
        <x:v>0 = unsuitable · 3 = usable with limits · 5 = decision-grade</x:v>
      </x:c>
    </x:row>
  </x:sheetData>
  <x:mergeCells>
    <x:mergeCell ref="A1:X2"/>
    <x:mergeCell ref="A3:X3"/>
    <x:mergeCell ref="A5:X7"/>
    <x:mergeCell ref="A9:F9"/>
    <x:mergeCell ref="H9:L9"/>
    <x:mergeCell ref="N9:X9"/>
    <x:mergeCell ref="N10:X10"/>
    <x:mergeCell ref="A20:D20"/>
    <x:mergeCell ref="F20:X20"/>
    <x:mergeCell ref="G24:K24"/>
    <x:mergeCell ref="L24:X24"/>
    <x:mergeCell ref="G25:K25"/>
    <x:mergeCell ref="L25:X25"/>
    <x:mergeCell ref="G26:K26"/>
    <x:mergeCell ref="L26:X26"/>
    <x:mergeCell ref="G27:K27"/>
    <x:mergeCell ref="L27:X27"/>
    <x:mergeCell ref="G28:K28"/>
    <x:mergeCell ref="L28:X28"/>
    <x:mergeCell ref="G29:K29"/>
    <x:mergeCell ref="L29:X29"/>
    <x:mergeCell ref="G30:K30"/>
    <x:mergeCell ref="L30:X30"/>
    <x:mergeCell ref="A21:X22"/>
  </x:mergeCells>
  <x:conditionalFormatting sqref="E14:J17">
    <x:cfRule type="containsText" dxfId="4" priority="1" operator="containsText" text="PASS"/>
    <x:cfRule type="containsText" dxfId="5" priority="2" operator="containsText" text="FAIL"/>
  </x:conditionalFormatting>
  <x:conditionalFormatting sqref="T14:T17">
    <x:cfRule type="containsText" dxfId="6" priority="3" operator="containsText" text="READY"/>
    <x:cfRule type="containsText" dxfId="7" priority="4" operator="containsText" text="NOT SCORED"/>
  </x:conditionalFormatting>
  <x:dataValidations count="2">
    <x:dataValidation type="list" sqref="E14:J17">
      <x:formula1>"OPEN,PASS,FAIL"</x:formula1>
    </x:dataValidation>
    <x:dataValidation type="whole" operator="between" sqref="K14:Q17">
      <x:formula1>0</x:formula1>
      <x:formula2>5</x:formula2>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22" hidden="0" customWidth="1"/>
    <x:col min="3" max="3" width="28" hidden="0" customWidth="1"/>
    <x:col min="4" max="4" width="14" hidden="0" customWidth="1"/>
    <x:col min="5" max="5" width="20" hidden="0" customWidth="1"/>
    <x:col min="6" max="6" width="11" hidden="0" customWidth="1"/>
    <x:col min="7" max="7" width="11" hidden="0" customWidth="1"/>
    <x:col min="8" max="8" width="22" hidden="0" customWidth="1"/>
    <x:col min="9" max="9" width="22" hidden="0" customWidth="1"/>
    <x:col min="10" max="10" width="25" hidden="0" customWidth="1"/>
    <x:col min="11" max="11" width="22" hidden="0" customWidth="1"/>
    <x:col min="12" max="12" width="12" hidden="0" customWidth="1"/>
    <x:col min="13" max="13" width="14" hidden="0" customWidth="1"/>
    <x:col min="14" max="14" width="15" hidden="0" customWidth="1"/>
    <x:col min="15" max="15" width="42" hidden="0" customWidth="1"/>
    <x:col min="16" max="16" width="28" hidden="0" customWidth="1"/>
    <x:col min="17" max="17" width="35" hidden="0" customWidth="1"/>
    <x:col min="18" max="18" width="17" hidden="0" customWidth="1"/>
    <x:col min="19" max="19" width="20" hidden="0" customWidth="1"/>
    <x:col min="20" max="20" width="18" hidden="0" customWidth="1"/>
    <x:col min="21" max="21" width="17" hidden="0" customWidth="1"/>
    <x:col min="22" max="22" width="42" hidden="0" customWidth="1"/>
    <x:col min="23" max="23" width="37" hidden="0" customWidth="1"/>
    <x:col min="24" max="24" width="22" hidden="0" customWidth="1"/>
  </x:cols>
  <x:sheetData>
    <x:row r="1" ht="27" customHeight="1">
      <x:c r="A1" s="5" t="str">
        <x:v>Evidence intake template / Evidenssin vastaanottopohja</x:v>
      </x:c>
      <x:c r="B1" s="5"/>
      <x:c r="C1" s="5"/>
      <x:c r="D1" s="5"/>
      <x:c r="E1" s="5"/>
      <x:c r="F1" s="5"/>
      <x:c r="G1" s="5"/>
      <x:c r="H1" s="5"/>
      <x:c r="I1" s="5"/>
      <x:c r="J1" s="5"/>
      <x:c r="K1" s="5"/>
      <x:c r="L1" s="5"/>
      <x:c r="M1" s="5"/>
      <x:c r="N1" s="5"/>
      <x:c r="O1" s="5"/>
      <x:c r="P1" s="5"/>
      <x:c r="Q1" s="5"/>
      <x:c r="R1" s="5"/>
      <x:c r="S1" s="5"/>
      <x:c r="T1" s="5"/>
      <x:c r="U1" s="5"/>
      <x:c r="V1" s="5"/>
      <x:c r="W1" s="5"/>
      <x:c r="X1" s="5"/>
    </x:row>
    <x:row r="2" ht="27" customHeight="1">
      <x:c r="A2" s="5"/>
      <x:c r="B2" s="5"/>
      <x:c r="C2" s="5"/>
      <x:c r="D2" s="5"/>
      <x:c r="E2" s="5"/>
      <x:c r="F2" s="5"/>
      <x:c r="G2" s="5"/>
      <x:c r="H2" s="5"/>
      <x:c r="I2" s="5"/>
      <x:c r="J2" s="5"/>
      <x:c r="K2" s="5"/>
      <x:c r="L2" s="5"/>
      <x:c r="M2" s="5"/>
      <x:c r="N2" s="5"/>
      <x:c r="O2" s="5"/>
      <x:c r="P2" s="5"/>
      <x:c r="Q2" s="5"/>
      <x:c r="R2" s="5"/>
      <x:c r="S2" s="5"/>
      <x:c r="T2" s="5"/>
      <x:c r="U2" s="5"/>
      <x:c r="V2" s="5"/>
      <x:c r="W2" s="5"/>
      <x:c r="X2" s="5"/>
    </x:row>
    <x:row r="3" ht="28" customHeight="1">
      <x:c r="A3" s="9" t="str">
        <x:v>One evidence object per row · Blank public-safe template · Complete licence and public-use review before release</x:v>
      </x:c>
      <x:c r="B3" s="9"/>
      <x:c r="C3" s="9"/>
      <x:c r="D3" s="9"/>
      <x:c r="E3" s="9"/>
      <x:c r="F3" s="9"/>
      <x:c r="G3" s="9"/>
      <x:c r="H3" s="9"/>
      <x:c r="I3" s="9"/>
      <x:c r="J3" s="9"/>
      <x:c r="K3" s="9"/>
      <x:c r="L3" s="9"/>
      <x:c r="M3" s="9"/>
      <x:c r="N3" s="9"/>
      <x:c r="O3" s="9"/>
      <x:c r="P3" s="9"/>
      <x:c r="Q3" s="9"/>
      <x:c r="R3" s="9"/>
      <x:c r="S3" s="9"/>
      <x:c r="T3" s="9"/>
      <x:c r="U3" s="9"/>
      <x:c r="V3" s="9"/>
      <x:c r="W3" s="9"/>
      <x:c r="X3" s="9"/>
    </x:row>
    <x:row r="5">
      <x:c r="A5" s="236" t="str">
        <x:v>INTAKE RULE: retain the original evidence privately; enter only a controlled reference here. Do not paste correspondence, personal data, private paths or unlicensed data into a public workbook.
FI: VASTAANOTTOSÄÄNTÖ: säilytä alkuperäinen aineisto yksityisesti ja lisää tähän vain hallittu viite. Älä liitä julkiseen työkirjaan viestinvaihtoa, henkilötietoja, yksityisiä polkuja tai lisensoimatonta dataa.</x:v>
      </x:c>
      <x:c r="B5" s="237"/>
      <x:c r="C5" s="237"/>
      <x:c r="D5" s="237"/>
      <x:c r="E5" s="237"/>
      <x:c r="F5" s="237"/>
      <x:c r="G5" s="237"/>
      <x:c r="H5" s="237"/>
      <x:c r="I5" s="237"/>
      <x:c r="J5" s="237"/>
      <x:c r="K5" s="237"/>
      <x:c r="L5" s="237"/>
      <x:c r="M5" s="237"/>
      <x:c r="N5" s="237"/>
      <x:c r="O5" s="237"/>
      <x:c r="P5" s="237"/>
      <x:c r="Q5" s="237"/>
      <x:c r="R5" s="237"/>
      <x:c r="S5" s="237"/>
      <x:c r="T5" s="237"/>
      <x:c r="U5" s="237"/>
      <x:c r="V5" s="237"/>
      <x:c r="W5" s="237"/>
      <x:c r="X5" s="238"/>
    </x:row>
    <x:row r="6">
      <x:c r="A6" s="239"/>
      <x:c r="B6" s="240"/>
      <x:c r="C6" s="240"/>
      <x:c r="D6" s="240"/>
      <x:c r="E6" s="240"/>
      <x:c r="F6" s="240"/>
      <x:c r="G6" s="240"/>
      <x:c r="H6" s="240"/>
      <x:c r="I6" s="240"/>
      <x:c r="J6" s="240"/>
      <x:c r="K6" s="240"/>
      <x:c r="L6" s="240"/>
      <x:c r="M6" s="240"/>
      <x:c r="N6" s="240"/>
      <x:c r="O6" s="240"/>
      <x:c r="P6" s="240"/>
      <x:c r="Q6" s="240"/>
      <x:c r="R6" s="240"/>
      <x:c r="S6" s="240"/>
      <x:c r="T6" s="240"/>
      <x:c r="U6" s="240"/>
      <x:c r="V6" s="240"/>
      <x:c r="W6" s="240"/>
      <x:c r="X6" s="241"/>
    </x:row>
    <x:row r="7">
      <x:c r="A7" s="242"/>
      <x:c r="B7" s="243"/>
      <x:c r="C7" s="243"/>
      <x:c r="D7" s="243"/>
      <x:c r="E7" s="243"/>
      <x:c r="F7" s="243"/>
      <x:c r="G7" s="243"/>
      <x:c r="H7" s="243"/>
      <x:c r="I7" s="243"/>
      <x:c r="J7" s="243"/>
      <x:c r="K7" s="243"/>
      <x:c r="L7" s="243"/>
      <x:c r="M7" s="243"/>
      <x:c r="N7" s="243"/>
      <x:c r="O7" s="243"/>
      <x:c r="P7" s="243"/>
      <x:c r="Q7" s="243"/>
      <x:c r="R7" s="243"/>
      <x:c r="S7" s="243"/>
      <x:c r="T7" s="243"/>
      <x:c r="U7" s="243"/>
      <x:c r="V7" s="243"/>
      <x:c r="W7" s="243"/>
      <x:c r="X7" s="244"/>
    </x:row>
    <x:row r="9">
      <x:c r="A9" s="186" t="str">
        <x:v>Legend / Selite</x:v>
      </x:c>
      <x:c r="B9" s="186"/>
      <x:c r="C9" s="186"/>
      <x:c r="D9" s="186"/>
      <x:c r="E9" s="186"/>
      <x:c r="F9" s="186"/>
      <x:c r="G9" s="186"/>
      <x:c r="H9" s="186"/>
    </x:row>
    <x:row r="10">
      <x:c r="A10" s="245" t="str">
        <x:v>Blue font</x:v>
      </x:c>
      <x:c r="B10" s="80" t="str">
        <x:v>Editable input</x:v>
      </x:c>
      <x:c r="C10" s="188" t="str">
        <x:v>Black font</x:v>
      </x:c>
      <x:c r="D10" s="80" t="str">
        <x:v>Fixed label</x:v>
      </x:c>
      <x:c r="E10" s="80" t="str">
        <x:v>One row</x:v>
      </x:c>
      <x:c r="F10" s="80" t="str">
        <x:v>One evidence object</x:v>
      </x:c>
      <x:c r="G10" s="80" t="str">
        <x:v>Blank</x:v>
      </x:c>
      <x:c r="H10" s="80" t="str">
        <x:v>Unknown / not received</x:v>
      </x:c>
    </x:row>
    <x:row r="12">
      <x:c r="A12" s="74" t="str">
        <x:v>Intake ID</x:v>
      </x:c>
      <x:c r="B12" s="74" t="str">
        <x:v>Intake type</x:v>
      </x:c>
      <x:c r="C12" s="74" t="str">
        <x:v>Provider / Country</x:v>
      </x:c>
      <x:c r="D12" s="74" t="str">
        <x:v>Received on</x:v>
      </x:c>
      <x:c r="E12" s="74" t="str">
        <x:v>Evidence type</x:v>
      </x:c>
      <x:c r="F12" s="74" t="str">
        <x:v>Years from</x:v>
      </x:c>
      <x:c r="G12" s="74" t="str">
        <x:v>Years to</x:v>
      </x:c>
      <x:c r="H12" s="74" t="str">
        <x:v>Measure</x:v>
      </x:c>
      <x:c r="I12" s="74" t="str">
        <x:v>Supply-chain stage</x:v>
      </x:c>
      <x:c r="J12" s="74" t="str">
        <x:v>Product scope</x:v>
      </x:c>
      <x:c r="K12" s="74" t="str">
        <x:v>Geography</x:v>
      </x:c>
      <x:c r="L12" s="74" t="str">
        <x:v>Currency</x:v>
      </x:c>
      <x:c r="M12" s="74" t="str">
        <x:v>Unit</x:v>
      </x:c>
      <x:c r="N12" s="74" t="str">
        <x:v>Raw / Derived</x:v>
      </x:c>
      <x:c r="O12" s="74" t="str">
        <x:v>Controlled source or file reference</x:v>
      </x:c>
      <x:c r="P12" s="74" t="str">
        <x:v>SHA-256</x:v>
      </x:c>
      <x:c r="Q12" s="74" t="str">
        <x:v>Licence / Terms</x:v>
      </x:c>
      <x:c r="R12" s="74" t="str">
        <x:v>Public use allowed</x:v>
      </x:c>
      <x:c r="S12" s="74" t="str">
        <x:v>Reviewer</x:v>
      </x:c>
      <x:c r="T12" s="74" t="str">
        <x:v>Review status</x:v>
      </x:c>
      <x:c r="U12" s="74" t="str">
        <x:v>Confidence</x:v>
      </x:c>
      <x:c r="V12" s="74" t="str">
        <x:v>Gaps / Notes</x:v>
      </x:c>
      <x:c r="W12" s="74" t="str">
        <x:v>Public citation candidate</x:v>
      </x:c>
      <x:c r="X12" s="74" t="str">
        <x:v>Public release decision</x:v>
      </x:c>
    </x:row>
    <x:row r="13" ht="44" customHeight="1">
      <x:c r="A13" s="191"/>
      <x:c r="B13" s="191"/>
      <x:c r="C13" s="191"/>
      <x:c r="D13" s="246"/>
      <x:c r="E13" s="191"/>
      <x:c r="F13" s="248"/>
      <x:c r="G13" s="248"/>
      <x:c r="H13" s="191"/>
      <x:c r="I13" s="191"/>
      <x:c r="J13" s="191"/>
      <x:c r="K13" s="191"/>
      <x:c r="L13" s="191"/>
      <x:c r="M13" s="191"/>
      <x:c r="N13" s="191"/>
      <x:c r="O13" s="191"/>
      <x:c r="P13" s="191"/>
      <x:c r="Q13" s="191"/>
      <x:c r="R13" s="191"/>
      <x:c r="S13" s="191"/>
      <x:c r="T13" s="191"/>
      <x:c r="U13" s="191"/>
      <x:c r="V13" s="191"/>
      <x:c r="W13" s="191"/>
      <x:c r="X13" s="191"/>
    </x:row>
    <x:row r="14" ht="44" customHeight="1">
      <x:c r="A14" s="192"/>
      <x:c r="B14" s="192"/>
      <x:c r="C14" s="192"/>
      <x:c r="D14" s="247"/>
      <x:c r="E14" s="192"/>
      <x:c r="F14" s="249"/>
      <x:c r="G14" s="249"/>
      <x:c r="H14" s="192"/>
      <x:c r="I14" s="192"/>
      <x:c r="J14" s="192"/>
      <x:c r="K14" s="192"/>
      <x:c r="L14" s="192"/>
      <x:c r="M14" s="192"/>
      <x:c r="N14" s="192"/>
      <x:c r="O14" s="192"/>
      <x:c r="P14" s="192"/>
      <x:c r="Q14" s="192"/>
      <x:c r="R14" s="192"/>
      <x:c r="S14" s="192"/>
      <x:c r="T14" s="192"/>
      <x:c r="U14" s="192"/>
      <x:c r="V14" s="192"/>
      <x:c r="W14" s="192"/>
      <x:c r="X14" s="192"/>
    </x:row>
    <x:row r="15" ht="44" customHeight="1">
      <x:c r="A15" s="192"/>
      <x:c r="B15" s="192"/>
      <x:c r="C15" s="192"/>
      <x:c r="D15" s="247"/>
      <x:c r="E15" s="192"/>
      <x:c r="F15" s="249"/>
      <x:c r="G15" s="249"/>
      <x:c r="H15" s="192"/>
      <x:c r="I15" s="192"/>
      <x:c r="J15" s="192"/>
      <x:c r="K15" s="192"/>
      <x:c r="L15" s="192"/>
      <x:c r="M15" s="192"/>
      <x:c r="N15" s="192"/>
      <x:c r="O15" s="192"/>
      <x:c r="P15" s="192"/>
      <x:c r="Q15" s="192"/>
      <x:c r="R15" s="192"/>
      <x:c r="S15" s="192"/>
      <x:c r="T15" s="192"/>
      <x:c r="U15" s="192"/>
      <x:c r="V15" s="192"/>
      <x:c r="W15" s="192"/>
      <x:c r="X15" s="192"/>
    </x:row>
    <x:row r="16" ht="44" customHeight="1">
      <x:c r="A16" s="192"/>
      <x:c r="B16" s="192"/>
      <x:c r="C16" s="192"/>
      <x:c r="D16" s="247"/>
      <x:c r="E16" s="192"/>
      <x:c r="F16" s="249"/>
      <x:c r="G16" s="249"/>
      <x:c r="H16" s="192"/>
      <x:c r="I16" s="192"/>
      <x:c r="J16" s="192"/>
      <x:c r="K16" s="192"/>
      <x:c r="L16" s="192"/>
      <x:c r="M16" s="192"/>
      <x:c r="N16" s="192"/>
      <x:c r="O16" s="192"/>
      <x:c r="P16" s="192"/>
      <x:c r="Q16" s="192"/>
      <x:c r="R16" s="192"/>
      <x:c r="S16" s="192"/>
      <x:c r="T16" s="192"/>
      <x:c r="U16" s="192"/>
      <x:c r="V16" s="192"/>
      <x:c r="W16" s="192"/>
      <x:c r="X16" s="192"/>
    </x:row>
    <x:row r="17" ht="44" customHeight="1">
      <x:c r="A17" s="192"/>
      <x:c r="B17" s="192"/>
      <x:c r="C17" s="192"/>
      <x:c r="D17" s="247"/>
      <x:c r="E17" s="192"/>
      <x:c r="F17" s="249"/>
      <x:c r="G17" s="249"/>
      <x:c r="H17" s="192"/>
      <x:c r="I17" s="192"/>
      <x:c r="J17" s="192"/>
      <x:c r="K17" s="192"/>
      <x:c r="L17" s="192"/>
      <x:c r="M17" s="192"/>
      <x:c r="N17" s="192"/>
      <x:c r="O17" s="192"/>
      <x:c r="P17" s="192"/>
      <x:c r="Q17" s="192"/>
      <x:c r="R17" s="192"/>
      <x:c r="S17" s="192"/>
      <x:c r="T17" s="192"/>
      <x:c r="U17" s="192"/>
      <x:c r="V17" s="192"/>
      <x:c r="W17" s="192"/>
      <x:c r="X17" s="192"/>
    </x:row>
    <x:row r="18" ht="44" customHeight="1">
      <x:c r="A18" s="192"/>
      <x:c r="B18" s="192"/>
      <x:c r="C18" s="192"/>
      <x:c r="D18" s="247"/>
      <x:c r="E18" s="192"/>
      <x:c r="F18" s="249"/>
      <x:c r="G18" s="249"/>
      <x:c r="H18" s="192"/>
      <x:c r="I18" s="192"/>
      <x:c r="J18" s="192"/>
      <x:c r="K18" s="192"/>
      <x:c r="L18" s="192"/>
      <x:c r="M18" s="192"/>
      <x:c r="N18" s="192"/>
      <x:c r="O18" s="192"/>
      <x:c r="P18" s="192"/>
      <x:c r="Q18" s="192"/>
      <x:c r="R18" s="192"/>
      <x:c r="S18" s="192"/>
      <x:c r="T18" s="192"/>
      <x:c r="U18" s="192"/>
      <x:c r="V18" s="192"/>
      <x:c r="W18" s="192"/>
      <x:c r="X18" s="192"/>
    </x:row>
    <x:row r="19" ht="44" customHeight="1">
      <x:c r="A19" s="192"/>
      <x:c r="B19" s="192"/>
      <x:c r="C19" s="192"/>
      <x:c r="D19" s="247"/>
      <x:c r="E19" s="192"/>
      <x:c r="F19" s="249"/>
      <x:c r="G19" s="249"/>
      <x:c r="H19" s="192"/>
      <x:c r="I19" s="192"/>
      <x:c r="J19" s="192"/>
      <x:c r="K19" s="192"/>
      <x:c r="L19" s="192"/>
      <x:c r="M19" s="192"/>
      <x:c r="N19" s="192"/>
      <x:c r="O19" s="192"/>
      <x:c r="P19" s="192"/>
      <x:c r="Q19" s="192"/>
      <x:c r="R19" s="192"/>
      <x:c r="S19" s="192"/>
      <x:c r="T19" s="192"/>
      <x:c r="U19" s="192"/>
      <x:c r="V19" s="192"/>
      <x:c r="W19" s="192"/>
      <x:c r="X19" s="192"/>
    </x:row>
    <x:row r="20" ht="44" customHeight="1">
      <x:c r="A20" s="192"/>
      <x:c r="B20" s="192"/>
      <x:c r="C20" s="192"/>
      <x:c r="D20" s="247"/>
      <x:c r="E20" s="192"/>
      <x:c r="F20" s="249"/>
      <x:c r="G20" s="249"/>
      <x:c r="H20" s="192"/>
      <x:c r="I20" s="192"/>
      <x:c r="J20" s="192"/>
      <x:c r="K20" s="192"/>
      <x:c r="L20" s="192"/>
      <x:c r="M20" s="192"/>
      <x:c r="N20" s="192"/>
      <x:c r="O20" s="192"/>
      <x:c r="P20" s="192"/>
      <x:c r="Q20" s="192"/>
      <x:c r="R20" s="192"/>
      <x:c r="S20" s="192"/>
      <x:c r="T20" s="192"/>
      <x:c r="U20" s="192"/>
      <x:c r="V20" s="192"/>
      <x:c r="W20" s="192"/>
      <x:c r="X20" s="192"/>
    </x:row>
    <x:row r="21" ht="44" customHeight="1">
      <x:c r="A21" s="192"/>
      <x:c r="B21" s="192"/>
      <x:c r="C21" s="192"/>
      <x:c r="D21" s="247"/>
      <x:c r="E21" s="192"/>
      <x:c r="F21" s="249"/>
      <x:c r="G21" s="249"/>
      <x:c r="H21" s="192"/>
      <x:c r="I21" s="192"/>
      <x:c r="J21" s="192"/>
      <x:c r="K21" s="192"/>
      <x:c r="L21" s="192"/>
      <x:c r="M21" s="192"/>
      <x:c r="N21" s="192"/>
      <x:c r="O21" s="192"/>
      <x:c r="P21" s="192"/>
      <x:c r="Q21" s="192"/>
      <x:c r="R21" s="192"/>
      <x:c r="S21" s="192"/>
      <x:c r="T21" s="192"/>
      <x:c r="U21" s="192"/>
      <x:c r="V21" s="192"/>
      <x:c r="W21" s="192"/>
      <x:c r="X21" s="192"/>
    </x:row>
    <x:row r="22" ht="44" customHeight="1">
      <x:c r="A22" s="192"/>
      <x:c r="B22" s="192"/>
      <x:c r="C22" s="192"/>
      <x:c r="D22" s="247"/>
      <x:c r="E22" s="192"/>
      <x:c r="F22" s="249"/>
      <x:c r="G22" s="249"/>
      <x:c r="H22" s="192"/>
      <x:c r="I22" s="192"/>
      <x:c r="J22" s="192"/>
      <x:c r="K22" s="192"/>
      <x:c r="L22" s="192"/>
      <x:c r="M22" s="192"/>
      <x:c r="N22" s="192"/>
      <x:c r="O22" s="192"/>
      <x:c r="P22" s="192"/>
      <x:c r="Q22" s="192"/>
      <x:c r="R22" s="192"/>
      <x:c r="S22" s="192"/>
      <x:c r="T22" s="192"/>
      <x:c r="U22" s="192"/>
      <x:c r="V22" s="192"/>
      <x:c r="W22" s="192"/>
      <x:c r="X22" s="192"/>
    </x:row>
    <x:row r="23" ht="44" customHeight="1">
      <x:c r="A23" s="192"/>
      <x:c r="B23" s="192"/>
      <x:c r="C23" s="192"/>
      <x:c r="D23" s="247"/>
      <x:c r="E23" s="192"/>
      <x:c r="F23" s="249"/>
      <x:c r="G23" s="249"/>
      <x:c r="H23" s="192"/>
      <x:c r="I23" s="192"/>
      <x:c r="J23" s="192"/>
      <x:c r="K23" s="192"/>
      <x:c r="L23" s="192"/>
      <x:c r="M23" s="192"/>
      <x:c r="N23" s="192"/>
      <x:c r="O23" s="192"/>
      <x:c r="P23" s="192"/>
      <x:c r="Q23" s="192"/>
      <x:c r="R23" s="192"/>
      <x:c r="S23" s="192"/>
      <x:c r="T23" s="192"/>
      <x:c r="U23" s="192"/>
      <x:c r="V23" s="192"/>
      <x:c r="W23" s="192"/>
      <x:c r="X23" s="192"/>
    </x:row>
    <x:row r="24" ht="44" customHeight="1">
      <x:c r="A24" s="192"/>
      <x:c r="B24" s="192"/>
      <x:c r="C24" s="192"/>
      <x:c r="D24" s="247"/>
      <x:c r="E24" s="192"/>
      <x:c r="F24" s="249"/>
      <x:c r="G24" s="249"/>
      <x:c r="H24" s="192"/>
      <x:c r="I24" s="192"/>
      <x:c r="J24" s="192"/>
      <x:c r="K24" s="192"/>
      <x:c r="L24" s="192"/>
      <x:c r="M24" s="192"/>
      <x:c r="N24" s="192"/>
      <x:c r="O24" s="192"/>
      <x:c r="P24" s="192"/>
      <x:c r="Q24" s="192"/>
      <x:c r="R24" s="192"/>
      <x:c r="S24" s="192"/>
      <x:c r="T24" s="192"/>
      <x:c r="U24" s="192"/>
      <x:c r="V24" s="192"/>
      <x:c r="W24" s="192"/>
      <x:c r="X24" s="192"/>
    </x:row>
    <x:row r="25" ht="44" customHeight="1">
      <x:c r="A25" s="192"/>
      <x:c r="B25" s="192"/>
      <x:c r="C25" s="192"/>
      <x:c r="D25" s="247"/>
      <x:c r="E25" s="192"/>
      <x:c r="F25" s="249"/>
      <x:c r="G25" s="249"/>
      <x:c r="H25" s="192"/>
      <x:c r="I25" s="192"/>
      <x:c r="J25" s="192"/>
      <x:c r="K25" s="192"/>
      <x:c r="L25" s="192"/>
      <x:c r="M25" s="192"/>
      <x:c r="N25" s="192"/>
      <x:c r="O25" s="192"/>
      <x:c r="P25" s="192"/>
      <x:c r="Q25" s="192"/>
      <x:c r="R25" s="192"/>
      <x:c r="S25" s="192"/>
      <x:c r="T25" s="192"/>
      <x:c r="U25" s="192"/>
      <x:c r="V25" s="192"/>
      <x:c r="W25" s="192"/>
      <x:c r="X25" s="192"/>
    </x:row>
    <x:row r="26" ht="44" customHeight="1">
      <x:c r="A26" s="192"/>
      <x:c r="B26" s="192"/>
      <x:c r="C26" s="192"/>
      <x:c r="D26" s="247"/>
      <x:c r="E26" s="192"/>
      <x:c r="F26" s="249"/>
      <x:c r="G26" s="249"/>
      <x:c r="H26" s="192"/>
      <x:c r="I26" s="192"/>
      <x:c r="J26" s="192"/>
      <x:c r="K26" s="192"/>
      <x:c r="L26" s="192"/>
      <x:c r="M26" s="192"/>
      <x:c r="N26" s="192"/>
      <x:c r="O26" s="192"/>
      <x:c r="P26" s="192"/>
      <x:c r="Q26" s="192"/>
      <x:c r="R26" s="192"/>
      <x:c r="S26" s="192"/>
      <x:c r="T26" s="192"/>
      <x:c r="U26" s="192"/>
      <x:c r="V26" s="192"/>
      <x:c r="W26" s="192"/>
      <x:c r="X26" s="192"/>
    </x:row>
    <x:row r="27" ht="44" customHeight="1">
      <x:c r="A27" s="192"/>
      <x:c r="B27" s="192"/>
      <x:c r="C27" s="192"/>
      <x:c r="D27" s="247"/>
      <x:c r="E27" s="192"/>
      <x:c r="F27" s="249"/>
      <x:c r="G27" s="249"/>
      <x:c r="H27" s="192"/>
      <x:c r="I27" s="192"/>
      <x:c r="J27" s="192"/>
      <x:c r="K27" s="192"/>
      <x:c r="L27" s="192"/>
      <x:c r="M27" s="192"/>
      <x:c r="N27" s="192"/>
      <x:c r="O27" s="192"/>
      <x:c r="P27" s="192"/>
      <x:c r="Q27" s="192"/>
      <x:c r="R27" s="192"/>
      <x:c r="S27" s="192"/>
      <x:c r="T27" s="192"/>
      <x:c r="U27" s="192"/>
      <x:c r="V27" s="192"/>
      <x:c r="W27" s="192"/>
      <x:c r="X27" s="192"/>
    </x:row>
    <x:row r="28" ht="44" customHeight="1">
      <x:c r="A28" s="192"/>
      <x:c r="B28" s="192"/>
      <x:c r="C28" s="192"/>
      <x:c r="D28" s="247"/>
      <x:c r="E28" s="192"/>
      <x:c r="F28" s="249"/>
      <x:c r="G28" s="249"/>
      <x:c r="H28" s="192"/>
      <x:c r="I28" s="192"/>
      <x:c r="J28" s="192"/>
      <x:c r="K28" s="192"/>
      <x:c r="L28" s="192"/>
      <x:c r="M28" s="192"/>
      <x:c r="N28" s="192"/>
      <x:c r="O28" s="192"/>
      <x:c r="P28" s="192"/>
      <x:c r="Q28" s="192"/>
      <x:c r="R28" s="192"/>
      <x:c r="S28" s="192"/>
      <x:c r="T28" s="192"/>
      <x:c r="U28" s="192"/>
      <x:c r="V28" s="192"/>
      <x:c r="W28" s="192"/>
      <x:c r="X28" s="192"/>
    </x:row>
    <x:row r="29" ht="44" customHeight="1">
      <x:c r="A29" s="192"/>
      <x:c r="B29" s="192"/>
      <x:c r="C29" s="192"/>
      <x:c r="D29" s="247"/>
      <x:c r="E29" s="192"/>
      <x:c r="F29" s="249"/>
      <x:c r="G29" s="249"/>
      <x:c r="H29" s="192"/>
      <x:c r="I29" s="192"/>
      <x:c r="J29" s="192"/>
      <x:c r="K29" s="192"/>
      <x:c r="L29" s="192"/>
      <x:c r="M29" s="192"/>
      <x:c r="N29" s="192"/>
      <x:c r="O29" s="192"/>
      <x:c r="P29" s="192"/>
      <x:c r="Q29" s="192"/>
      <x:c r="R29" s="192"/>
      <x:c r="S29" s="192"/>
      <x:c r="T29" s="192"/>
      <x:c r="U29" s="192"/>
      <x:c r="V29" s="192"/>
      <x:c r="W29" s="192"/>
      <x:c r="X29" s="192"/>
    </x:row>
    <x:row r="30" ht="44" customHeight="1">
      <x:c r="A30" s="192"/>
      <x:c r="B30" s="192"/>
      <x:c r="C30" s="192"/>
      <x:c r="D30" s="247"/>
      <x:c r="E30" s="192"/>
      <x:c r="F30" s="249"/>
      <x:c r="G30" s="249"/>
      <x:c r="H30" s="192"/>
      <x:c r="I30" s="192"/>
      <x:c r="J30" s="192"/>
      <x:c r="K30" s="192"/>
      <x:c r="L30" s="192"/>
      <x:c r="M30" s="192"/>
      <x:c r="N30" s="192"/>
      <x:c r="O30" s="192"/>
      <x:c r="P30" s="192"/>
      <x:c r="Q30" s="192"/>
      <x:c r="R30" s="192"/>
      <x:c r="S30" s="192"/>
      <x:c r="T30" s="192"/>
      <x:c r="U30" s="192"/>
      <x:c r="V30" s="192"/>
      <x:c r="W30" s="192"/>
      <x:c r="X30" s="192"/>
    </x:row>
    <x:row r="31" ht="44" customHeight="1">
      <x:c r="A31" s="192"/>
      <x:c r="B31" s="192"/>
      <x:c r="C31" s="192"/>
      <x:c r="D31" s="247"/>
      <x:c r="E31" s="192"/>
      <x:c r="F31" s="249"/>
      <x:c r="G31" s="249"/>
      <x:c r="H31" s="192"/>
      <x:c r="I31" s="192"/>
      <x:c r="J31" s="192"/>
      <x:c r="K31" s="192"/>
      <x:c r="L31" s="192"/>
      <x:c r="M31" s="192"/>
      <x:c r="N31" s="192"/>
      <x:c r="O31" s="192"/>
      <x:c r="P31" s="192"/>
      <x:c r="Q31" s="192"/>
      <x:c r="R31" s="192"/>
      <x:c r="S31" s="192"/>
      <x:c r="T31" s="192"/>
      <x:c r="U31" s="192"/>
      <x:c r="V31" s="192"/>
      <x:c r="W31" s="192"/>
      <x:c r="X31" s="192"/>
    </x:row>
    <x:row r="32" ht="44" customHeight="1">
      <x:c r="A32" s="192"/>
      <x:c r="B32" s="192"/>
      <x:c r="C32" s="192"/>
      <x:c r="D32" s="247"/>
      <x:c r="E32" s="192"/>
      <x:c r="F32" s="249"/>
      <x:c r="G32" s="249"/>
      <x:c r="H32" s="192"/>
      <x:c r="I32" s="192"/>
      <x:c r="J32" s="192"/>
      <x:c r="K32" s="192"/>
      <x:c r="L32" s="192"/>
      <x:c r="M32" s="192"/>
      <x:c r="N32" s="192"/>
      <x:c r="O32" s="192"/>
      <x:c r="P32" s="192"/>
      <x:c r="Q32" s="192"/>
      <x:c r="R32" s="192"/>
      <x:c r="S32" s="192"/>
      <x:c r="T32" s="192"/>
      <x:c r="U32" s="192"/>
      <x:c r="V32" s="192"/>
      <x:c r="W32" s="192"/>
      <x:c r="X32" s="192"/>
    </x:row>
  </x:sheetData>
  <x:mergeCells>
    <x:mergeCell ref="A1:X2"/>
    <x:mergeCell ref="A3:X3"/>
    <x:mergeCell ref="A5:X7"/>
    <x:mergeCell ref="A9:H9"/>
  </x:mergeCells>
  <x:conditionalFormatting sqref="R13:R32">
    <x:cfRule type="containsText" dxfId="8" priority="1" operator="containsText" text="YES"/>
    <x:cfRule type="containsText" dxfId="9" priority="2" operator="containsText" text="NO"/>
  </x:conditionalFormatting>
  <x:conditionalFormatting sqref="X13:X32">
    <x:cfRule type="containsText" dxfId="10" priority="3" operator="containsText" text="PUBLIC-SAFE"/>
    <x:cfRule type="containsText" dxfId="11" priority="4" operator="containsText" text="DO NOT PUBLISH"/>
  </x:conditionalFormatting>
  <x:dataValidations count="7">
    <x:dataValidation type="list" sqref="B13:B32">
      <x:formula1>"VENDOR SAMPLE,COUNTRY RESPONSE,PUBLIC AUTHORITY EXTRACT,OTHER"</x:formula1>
    </x:dataValidation>
    <x:dataValidation type="list" sqref="E13:E32">
      <x:formula1>"SAMPLE,METHOD,COVERAGE,QUOTE,LICENCE,OFFICIAL DATA,OTHER"</x:formula1>
    </x:dataValidation>
    <x:dataValidation type="list" sqref="N13:N32">
      <x:formula1>"RAW,DERIVED,MIXED,UNKNOWN"</x:formula1>
    </x:dataValidation>
    <x:dataValidation type="list" sqref="R13:R32">
      <x:formula1>"YES,NO,UNKNOWN"</x:formula1>
    </x:dataValidation>
    <x:dataValidation type="list" sqref="T13:T32">
      <x:formula1>"RECEIVED,SCREENING,ACCEPTED,REJECTED,HELD"</x:formula1>
    </x:dataValidation>
    <x:dataValidation type="list" sqref="U13:U32">
      <x:formula1>"HIGH,MEDIUM,LOW,NOT ASSESSED"</x:formula1>
    </x:dataValidation>
    <x:dataValidation type="list" sqref="X13:X32">
      <x:formula1>"DO NOT PUBLISH,PUBLIC-SAFE,LEGAL REVIEW,HELD"</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8" hidden="0" customWidth="1"/>
    <x:col min="4" max="4" width="18" hidden="0" customWidth="1"/>
    <x:col min="5" max="5" width="18" hidden="0" customWidth="1"/>
    <x:col min="6" max="6" width="16" hidden="0" customWidth="1"/>
    <x:col min="7" max="7" width="70" hidden="0" customWidth="1"/>
  </x:cols>
  <x:sheetData>
    <x:row r="1" ht="27" customHeight="1">
      <x:c r="A1" s="5" t="str">
        <x:v>Workbook controls and audit checks / Työkirjan kontrollit ja tarkistukset</x:v>
      </x:c>
      <x:c r="B1" s="5"/>
      <x:c r="C1" s="5"/>
      <x:c r="D1" s="5"/>
      <x:c r="E1" s="5"/>
      <x:c r="F1" s="5"/>
      <x:c r="G1" s="5"/>
    </x:row>
    <x:row r="2" ht="27" customHeight="1">
      <x:c r="A2" s="5"/>
      <x:c r="B2" s="5"/>
      <x:c r="C2" s="5"/>
      <x:c r="D2" s="5"/>
      <x:c r="E2" s="5"/>
      <x:c r="F2" s="5"/>
      <x:c r="G2" s="5"/>
    </x:row>
    <x:row r="3" ht="28" customHeight="1">
      <x:c r="A3" s="9" t="str">
        <x:v>One assertion per row · Formula-driven controls · Builder formula-error scan reported separately below</x:v>
      </x:c>
      <x:c r="B3" s="9"/>
      <x:c r="C3" s="9"/>
      <x:c r="D3" s="9"/>
      <x:c r="E3" s="9"/>
      <x:c r="F3" s="9"/>
      <x:c r="G3" s="9"/>
    </x:row>
    <x:row r="5">
      <x:c r="A5" s="278" t="str">
        <x:f>IF(COUNTIF(F12:F20,"FAIL")=0,"MODEL STATUS: OK / MALLIN TILA: OK","MODEL STATUS: REVIEW / MALLIN TILA: TARKISTA")</x:f>
        <x:v>MODEL STATUS: OK / MALLIN TILA: OK</x:v>
      </x:c>
      <x:c r="B5" s="279"/>
      <x:c r="C5" s="279"/>
      <x:c r="D5" s="279"/>
      <x:c r="E5" s="279"/>
      <x:c r="F5" s="279"/>
      <x:c r="G5" s="280"/>
    </x:row>
    <x:row r="6">
      <x:c r="A6" s="281"/>
      <x:c r="B6" s="282"/>
      <x:c r="C6" s="282"/>
      <x:c r="D6" s="282"/>
      <x:c r="E6" s="282"/>
      <x:c r="F6" s="282"/>
      <x:c r="G6" s="283"/>
    </x:row>
    <x:row r="7">
      <x:c r="A7" s="284"/>
      <x:c r="B7" s="285"/>
      <x:c r="C7" s="285"/>
      <x:c r="D7" s="285"/>
      <x:c r="E7" s="285"/>
      <x:c r="F7" s="285"/>
      <x:c r="G7" s="286"/>
    </x:row>
    <x:row r="9" ht="44" customHeight="1">
      <x:c r="A9" s="294" t="str">
        <x:v>A check can pass while commercial evidence is still missing. It verifies workbook logic and control design, not a vendor or purchase decision.
FI: Tarkistus voi läpäistä, vaikka kaupallista evidenssiä puuttuisi. Se varmistaa työkirjan logiikan ja kontrollit, ei toimittajaa tai ostopäätöstä.</x:v>
      </x:c>
      <x:c r="B9" s="295"/>
      <x:c r="C9" s="295"/>
      <x:c r="D9" s="295"/>
      <x:c r="E9" s="295"/>
      <x:c r="F9" s="295"/>
      <x:c r="G9" s="296"/>
    </x:row>
    <x:row r="11">
      <x:c r="A11" s="74" t="str">
        <x:v>Assertion / Tarkistus</x:v>
      </x:c>
      <x:c r="B11" s="74" t="str">
        <x:v>Actual / Toteuma</x:v>
      </x:c>
      <x:c r="C11" s="74" t="str">
        <x:v>Expected / Odotus</x:v>
      </x:c>
      <x:c r="D11" s="74" t="str">
        <x:v>Difference / Ero</x:v>
      </x:c>
      <x:c r="E11" s="74" t="str">
        <x:v>Tolerance / Toleranssi</x:v>
      </x:c>
      <x:c r="F11" s="74" t="str">
        <x:v>Status / Tila</x:v>
      </x:c>
      <x:c r="G11" s="74" t="str">
        <x:v>Notes / Huomio</x:v>
      </x:c>
    </x:row>
    <x:row r="12" ht="48" customHeight="1">
      <x:c r="A12" s="80" t="str">
        <x:v>Response criteria weights total</x:v>
      </x:c>
      <x:c r="B12" s="299" t="n">
        <x:f>SUM('Response Scorecard'!$B$25:$B$31)</x:f>
        <x:v>1</x:v>
      </x:c>
      <x:c r="C12" s="300" t="n">
        <x:v>1</x:v>
      </x:c>
      <x:c r="D12" s="301" t="n">
        <x:f>B12-C12</x:f>
        <x:v>0</x:v>
      </x:c>
      <x:c r="E12" s="301" t="n">
        <x:v>0.000001</x:v>
      </x:c>
      <x:c r="F12" s="193" t="str">
        <x:f>IF(ABS(D12)&lt;=E12,"OK","FAIL")</x:f>
        <x:v>OK</x:v>
      </x:c>
      <x:c r="G12" s="80" t="str">
        <x:v>Must equal 100%.</x:v>
      </x:c>
    </x:row>
    <x:row r="13" ht="48" customHeight="1">
      <x:c r="A13" s="81" t="str">
        <x:v>Tracked vendor records</x:v>
      </x:c>
      <x:c r="B13" s="302" t="n">
        <x:f>COUNTA('Response Scorecard'!$A$14:$A$17)</x:f>
        <x:v>4</x:v>
      </x:c>
      <x:c r="C13" s="97" t="n">
        <x:v>4</x:v>
      </x:c>
      <x:c r="D13" s="198" t="n">
        <x:f>B13-C13</x:f>
        <x:v>0</x:v>
      </x:c>
      <x:c r="E13" s="198" t="n">
        <x:v>0</x:v>
      </x:c>
      <x:c r="F13" s="194" t="str">
        <x:f>IF(ABS(D13)&lt;=E13,"OK","FAIL")</x:f>
        <x:v>OK</x:v>
      </x:c>
      <x:c r="G13" s="81" t="str">
        <x:v>Current public shortlist contains exactly four response records.</x:v>
      </x:c>
    </x:row>
    <x:row r="14" ht="48" customHeight="1">
      <x:c r="A14" s="81" t="str">
        <x:v>Scores shown without readiness</x:v>
      </x:c>
      <x:c r="B14" s="302" t="n">
        <x:f>COUNT('Response Scorecard'!$U$14:$U$17)-COUNTIF('Response Scorecard'!$T$14:$T$17,"READY TO SCORE")</x:f>
        <x:v>0</x:v>
      </x:c>
      <x:c r="C14" s="97" t="n">
        <x:v>0</x:v>
      </x:c>
      <x:c r="D14" s="198" t="n">
        <x:f>B14-C14</x:f>
        <x:v>0</x:v>
      </x:c>
      <x:c r="E14" s="198" t="n">
        <x:v>0</x:v>
      </x:c>
      <x:c r="F14" s="194" t="str">
        <x:f>IF(ABS(D14)&lt;=E14,"OK","FAIL")</x:f>
        <x:v>OK</x:v>
      </x:c>
      <x:c r="G14" s="81" t="str">
        <x:v>A numeric score may appear only when readiness is READY TO SCORE.</x:v>
      </x:c>
    </x:row>
    <x:row r="15" ht="48" customHeight="1">
      <x:c r="A15" s="81" t="str">
        <x:v>Purchases authorised</x:v>
      </x:c>
      <x:c r="B15" s="302" t="n">
        <x:f>COUNTIF('Response Scorecard'!$T$14:$T$17,"PURCHASE AUTHORISED")</x:f>
        <x:v>0</x:v>
      </x:c>
      <x:c r="C15" s="97" t="n">
        <x:v>0</x:v>
      </x:c>
      <x:c r="D15" s="198" t="n">
        <x:f>B15-C15</x:f>
        <x:v>0</x:v>
      </x:c>
      <x:c r="E15" s="198" t="n">
        <x:v>0</x:v>
      </x:c>
      <x:c r="F15" s="194" t="str">
        <x:f>IF(ABS(D15)&lt;=E15,"OK","FAIL")</x:f>
        <x:v>OK</x:v>
      </x:c>
      <x:c r="G15" s="81" t="str">
        <x:v>This workbook grants no purchase authority.</x:v>
      </x:c>
    </x:row>
    <x:row r="16" ht="48" customHeight="1">
      <x:c r="A16" s="81" t="str">
        <x:v>Missing vendor IDs</x:v>
      </x:c>
      <x:c r="B16" s="302" t="n">
        <x:f>COUNTBLANK('Response Scorecard'!$A$14:$A$17)</x:f>
        <x:v>0</x:v>
      </x:c>
      <x:c r="C16" s="97" t="n">
        <x:v>0</x:v>
      </x:c>
      <x:c r="D16" s="198" t="n">
        <x:f>B16-C16</x:f>
        <x:v>0</x:v>
      </x:c>
      <x:c r="E16" s="198" t="n">
        <x:v>0</x:v>
      </x:c>
      <x:c r="F16" s="194" t="str">
        <x:f>IF(ABS(D16)&lt;=E16,"OK","FAIL")</x:f>
        <x:v>OK</x:v>
      </x:c>
      <x:c r="G16" s="81" t="str">
        <x:v>Every tracked vendor must have a stable public ID.</x:v>
      </x:c>
    </x:row>
    <x:row r="17" ht="48" customHeight="1">
      <x:c r="A17" s="81" t="str">
        <x:v>Invalid gate states</x:v>
      </x:c>
      <x:c r="B17" s="302" t="n">
        <x:f>24-COUNTIF('Response Scorecard'!$E$14:$J$17,"OPEN")-COUNTIF('Response Scorecard'!$E$14:$J$17,"PASS")-COUNTIF('Response Scorecard'!$E$14:$J$17,"FAIL")</x:f>
        <x:v>0</x:v>
      </x:c>
      <x:c r="C17" s="97" t="n">
        <x:v>0</x:v>
      </x:c>
      <x:c r="D17" s="198" t="n">
        <x:f>B17-C17</x:f>
        <x:v>0</x:v>
      </x:c>
      <x:c r="E17" s="198" t="n">
        <x:v>0</x:v>
      </x:c>
      <x:c r="F17" s="194" t="str">
        <x:f>IF(ABS(D17)&lt;=E17,"OK","FAIL")</x:f>
        <x:v>OK</x:v>
      </x:c>
      <x:c r="G17" s="81" t="str">
        <x:v>Allowed values are OPEN, PASS and FAIL.</x:v>
      </x:c>
    </x:row>
    <x:row r="18" ht="48" customHeight="1">
      <x:c r="A18" s="81" t="str">
        <x:v>Out-of-range score inputs</x:v>
      </x:c>
      <x:c r="B18" s="302" t="n">
        <x:f>COUNTIF('Response Scorecard'!$K$14:$Q$17,"&lt;0")+COUNTIF('Response Scorecard'!$K$14:$Q$17,"&gt;5")</x:f>
        <x:v>0</x:v>
      </x:c>
      <x:c r="C18" s="97" t="n">
        <x:v>0</x:v>
      </x:c>
      <x:c r="D18" s="198" t="n">
        <x:f>B18-C18</x:f>
        <x:v>0</x:v>
      </x:c>
      <x:c r="E18" s="198" t="n">
        <x:v>0</x:v>
      </x:c>
      <x:c r="F18" s="194" t="str">
        <x:f>IF(ABS(D18)&lt;=E18,"OK","FAIL")</x:f>
        <x:v>OK</x:v>
      </x:c>
      <x:c r="G18" s="81" t="str">
        <x:v>Score inputs must be blank or 0–5.</x:v>
      </x:c>
    </x:row>
    <x:row r="19" ht="48" customHeight="1">
      <x:c r="A19" s="81" t="str">
        <x:v>Ready rows without weighted score</x:v>
      </x:c>
      <x:c r="B19" s="302" t="n">
        <x:f>COUNTIF('Response Scorecard'!$T$14:$T$17,"READY TO SCORE")-COUNT('Response Scorecard'!$U$14:$U$17)</x:f>
        <x:v>0</x:v>
      </x:c>
      <x:c r="C19" s="97" t="n">
        <x:v>0</x:v>
      </x:c>
      <x:c r="D19" s="198" t="n">
        <x:f>B19-C19</x:f>
        <x:v>0</x:v>
      </x:c>
      <x:c r="E19" s="198" t="n">
        <x:v>0</x:v>
      </x:c>
      <x:c r="F19" s="194" t="str">
        <x:f>IF(ABS(D19)&lt;=E19,"OK","FAIL")</x:f>
        <x:v>OK</x:v>
      </x:c>
      <x:c r="G19" s="81" t="str">
        <x:v>Every READY TO SCORE row must calculate a score.</x:v>
      </x:c>
    </x:row>
    <x:row r="20" ht="48" customHeight="1">
      <x:c r="A20" s="81" t="str">
        <x:v>Intake rows with provider but no ID</x:v>
      </x:c>
      <x:c r="B20" s="302" t="n">
        <x:f>COUNTIFS('Intake Template'!$C$13:$C$32,"&lt;&gt;",'Intake Template'!$A$13:$A$32,"")</x:f>
        <x:v>0</x:v>
      </x:c>
      <x:c r="C20" s="97" t="n">
        <x:v>0</x:v>
      </x:c>
      <x:c r="D20" s="198" t="n">
        <x:f>B20-C20</x:f>
        <x:v>0</x:v>
      </x:c>
      <x:c r="E20" s="198" t="n">
        <x:v>0</x:v>
      </x:c>
      <x:c r="F20" s="194" t="str">
        <x:f>IF(ABS(D20)&lt;=E20,"OK","FAIL")</x:f>
        <x:v>OK</x:v>
      </x:c>
      <x:c r="G20" s="81" t="str">
        <x:v>Each populated intake row requires an Intake ID.</x:v>
      </x:c>
    </x:row>
    <x:row r="22">
      <x:c r="A22" s="69" t="str">
        <x:v>Builder verification / Rakentajan varmennus</x:v>
      </x:c>
      <x:c r="B22" s="69"/>
      <x:c r="C22" s="69"/>
      <x:c r="D22" s="69"/>
      <x:c r="E22" s="69"/>
      <x:c r="F22" s="69"/>
      <x:c r="G22" s="69"/>
    </x:row>
    <x:row r="23" ht="36" customHeight="1">
      <x:c r="A23" s="316" t="str">
        <x:v>The build script inspects key ranges, scans for common Excel formula-error tokens, and renders every worksheet before export. Rerun the builder after structural edits. This note does not replace a fresh scan after manual workbook changes.
FI: Rakennusskripti tarkistaa avainalueet, etsii kaavavirheet ja renderöi jokaisen välilehden ennen vientiä. Aja rakentaja uudelleen rakenteellisten muutosten jälkeen; huomautus ei korvaa uutta tarkistusta manuaalisten muutosten jälkeen.</x:v>
      </x:c>
      <x:c r="B23" s="317"/>
      <x:c r="C23" s="317"/>
      <x:c r="D23" s="317"/>
      <x:c r="E23" s="317"/>
      <x:c r="F23" s="317"/>
      <x:c r="G23" s="318"/>
    </x:row>
    <x:row r="24" ht="36" customHeight="1">
      <x:c r="A24" s="319"/>
      <x:c r="B24" s="320"/>
      <x:c r="C24" s="320"/>
      <x:c r="D24" s="320"/>
      <x:c r="E24" s="320"/>
      <x:c r="F24" s="320"/>
      <x:c r="G24" s="321"/>
    </x:row>
  </x:sheetData>
  <x:mergeCells>
    <x:mergeCell ref="A1:G2"/>
    <x:mergeCell ref="A3:G3"/>
    <x:mergeCell ref="A5:G7"/>
    <x:mergeCell ref="A9:G9"/>
    <x:mergeCell ref="A22:G22"/>
    <x:mergeCell ref="A23:G24"/>
  </x:mergeCells>
  <x:conditionalFormatting sqref="F12:F20">
    <x:cfRule type="containsText" dxfId="12" priority="1" operator="containsText" text="OK"/>
    <x:cfRule type="containsText" dxfId="13" priority="2" operator="containsText" text="FAIL"/>
  </x:conditionalFormatting>
  <x:pageMargins left="0.7" right="0.7" top="0.75" bottom="0.75" header="0.3" footer="0.3"/>
</x:worksheet>
</file>