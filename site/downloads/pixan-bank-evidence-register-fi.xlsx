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2da0af76947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f78f0f343c03432d"/>
    <x:sheet xmlns:r="http://schemas.openxmlformats.org/officeDocument/2006/relationships" name="Yhteenveto" sheetId="2" r:id="R4d7d4fdac86c4c45"/>
    <x:sheet xmlns:r="http://schemas.openxmlformats.org/officeDocument/2006/relationships" name="Tutkijan kysymykset" sheetId="3" r:id="R9874534607d14a0d"/>
    <x:sheet xmlns:r="http://schemas.openxmlformats.org/officeDocument/2006/relationships" name="Lähteet" sheetId="4" r:id="R9471cf0fc7cf437b"/>
    <x:sheet xmlns:r="http://schemas.openxmlformats.org/officeDocument/2006/relationships" name="Eurovastineet" sheetId="5" r:id="Rd7f57f1b00ba4d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8a69fab2646e5" /><Relationship Type="http://schemas.openxmlformats.org/officeDocument/2006/relationships/theme" Target="/xl/theme/theme1.xml" Id="R22fdb99db20b43b7" /><Relationship Type="http://schemas.openxmlformats.org/officeDocument/2006/relationships/sharedStrings" Target="/xl/sharedStrings.xml" Id="R968a0a392795490e" /><Relationship Type="http://schemas.openxmlformats.org/officeDocument/2006/relationships/worksheet" Target="/xl/worksheets/sheet1.xml" Id="Rf78f0f343c03432d" /><Relationship Type="http://schemas.openxmlformats.org/officeDocument/2006/relationships/worksheet" Target="/xl/worksheets/sheet2.xml" Id="R4d7d4fdac86c4c45" /><Relationship Type="http://schemas.openxmlformats.org/officeDocument/2006/relationships/worksheet" Target="/xl/worksheets/sheet3.xml" Id="R9874534607d14a0d" /><Relationship Type="http://schemas.openxmlformats.org/officeDocument/2006/relationships/worksheet" Target="/xl/worksheets/sheet4.xml" Id="R9471cf0fc7cf437b" /><Relationship Type="http://schemas.openxmlformats.org/officeDocument/2006/relationships/worksheet" Target="/xl/worksheets/sheet5.xml" Id="Rd7f57f1b00ba4d81" /></Relationships>
</file>

<file path=xl/tables/table1.xml><?xml version="1.0" encoding="utf-8"?>
<x:table xmlns:x="http://schemas.openxmlformats.org/spreadsheetml/2006/main" id="1" name="EvidenceRegisterFI" displayName="EvidenceRegisterFI" ref="A1:I61" headerRowCount="1" totalsRowCount="0" totalsRowShown="0">
  <x:autoFilter ref="A1:I61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106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8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ed77eb7ae4f45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812dee992145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2e074c8a8dd4f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46feb816db348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28 tarkistettua maasuunnitelmaa, 0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 ; source/FIVE_COUNTRY_METHOD_SPRINT_2026-07-27.md</x:v>
      </x:c>
      <x:c r="E11" s="14" t="str">
        <x:v>2026-07-27</x:v>
      </x:c>
      <x:c r="F11" s="14" t="str">
        <x:v>195 = 28 reviewed_method_plan + 0 reviewed_source_lead + 15 regional_tpd_pattern_only + 152 proxy_only_unscoped.</x:v>
      </x:c>
      <x:c r="G11" s="14" t="str">
        <x:v>Vain 28 maalla on tarkistettu maakohtainen menetelmäsuunnitelma. Viisi tässä sprintissä tarkistettua lähdepolkua siirrettiin maasuunnitelmiksi vasta, kun virallinen haltija, kentät, kaava ja rajoitteet oli dokumentoitu. Luokitus ei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Itävallalla on tarkistettu vuosittaiseen lakisääteiseen myyntiraportointiin ja sähkönestevalmisteveroon perustuva menetelmäsuunnitelma; vähittäismarkkina-arvoa ei ole laskettu.</x:v>
      </x:c>
      <x:c r="B12" s="14" t="str">
        <x:v>Markkinakoko / Itävalta</x:v>
      </x:c>
      <x:c r="C12" s="14" t="str">
        <x:v>Virallinen reitti edellyttää edellisen vuoden vuosivolyymien raportointia ja vahvistaa sähkönestevalmisteveron alkavan 2026-04-01 tasolla EUR 200 litralta.</x:v>
      </x:c>
      <x:c r="D12" s="14" t="str">
        <x:v>source/FIVE_COUNTRY_METHOD_SPRINT_2026-07-27.md (Austria)</x:v>
      </x:c>
      <x:c r="E12" s="14" t="str">
        <x:v>2026-07-27</x:v>
      </x:c>
      <x:c r="F12" s="14" t="str">
        <x:v>Verolliset litrat = sähkönestekohtainen nettovero / sovellettava EUR 200 litralta 2026-04-01 alkavalla jaksolla.</x:v>
      </x:c>
      <x:c r="G12" s="14" t="str">
        <x:v>Sekajaksot erotellaan; vuosiraportointi ja veroinversio ovat vaihtoehtoisia sovitusreittejä, eivät yhteenlaskettavia.</x:v>
      </x:c>
      <x:c r="H12" s="14" t="str">
        <x:v>Vahvistettu</x:v>
      </x:c>
      <x:c r="I12" s="14" t="str">
        <x:v>Kansallista vuosikoostetta, hintasarjaa, kattavuutta ja vähittäismyynnin sovitusta ei ole saatu; retailValueStatus on not_computed.</x:v>
      </x:c>
    </x:row>
    <x:row r="13" ht="58.5" customHeight="1">
      <x:c r="A13" s="14" t="str">
        <x:v>Belgian virallinen osavuosiveroluku tuottaa vain pyöristetyn 9 kuukauden verovolyymi-indikaattorin; se ei ole koko vuoden myynti eikä vähittäismarkkina-arvo.</x:v>
      </x:c>
      <x:c r="B13" s="14" t="str">
        <x:v>Markkinakoko / Belgia</x:v>
      </x:c>
      <x:c r="C13" s="14" t="str">
        <x:v>Virallinen arviolta EUR 12 500 000 ja verokanta EUR 0,15 per ml vastaavat arviolta 83 333 333 ml eli 83 333 litraa.</x:v>
      </x:c>
      <x:c r="D13" s="14" t="str">
        <x:v>source/FIVE_COUNTRY_METHOD_SPRINT_2026-07-27.md (Belgium)</x:v>
      </x:c>
      <x:c r="E13" s="14" t="str">
        <x:v>2026-07-27</x:v>
      </x:c>
      <x:c r="F13" s="14" t="str">
        <x:v>EUR 12 500 000 / EUR 0,15 per ml = arviolta 83 333 333 ml ≈ 83 333 litraa.</x:v>
      </x:c>
      <x:c r="G13" s="14" t="str">
        <x:v>Luku koskee 9 kuukauden jaksoa; varastointi, rajakauppa ja maksujen ajoitus voivat vääristää tulkintaa.</x:v>
      </x:c>
      <x:c r="H13" s="14" t="str">
        <x:v>Tuettu</x:v>
      </x:c>
      <x:c r="I13" s="14" t="str">
        <x:v>Nettoveronalaisia luovutuksia, koko vuotta, kuluttajamyyntiä, hintaa ja kanavakattavuutta ei ole vahvistettu; 9 kuukauden indikaattoria ei hyväksytä donoriksi.</x:v>
      </x:c>
    </x:row>
    <x:row r="14" ht="58.5" customHeight="1">
      <x:c r="A14" s="14" t="str">
        <x:v>Sveitsillä on 2024-10-01 alkanut kahden verokannan menetelmäreitti; vähittäismarkkina-arvoa ei ole laskettu.</x:v>
      </x:c>
      <x:c r="B14" s="14" t="str">
        <x:v>Markkinakoko / Sveitsi</x:v>
      </x:c>
      <x:c r="C14" s="14" t="str">
        <x:v>Virallinen reitti erottaa kertakäyttötuotteiden CHF 1,00 per ml ja uudelleenkäytettävien nikotiinituotteiden CHF 0,20 per ml; ensimmäinen jakso on 2024-10-01–2024-12-31.</x:v>
      </x:c>
      <x:c r="D14" s="14" t="str">
        <x:v>source/FIVE_COUNTRY_METHOD_SPRINT_2026-07-27.md (Switzerland)</x:v>
      </x:c>
      <x:c r="E14" s="14" t="str">
        <x:v>2026-07-27</x:v>
      </x:c>
      <x:c r="F14" s="14" t="str">
        <x:v>Kertakäyttötuotteiden verollinen ml = luokan nettovero / CHF 1,00; uudelleenkäytettävien nikotiinituotteiden verollinen ml = luokan nettovero / CHF 0,20; litrat = ml / 1 000.</x:v>
      </x:c>
      <x:c r="G14" s="14" t="str">
        <x:v>Veroluokat on toimitettava erillään eikä yhdistetylle verolle ole yksikäsitteistä volyymiratkaisua.</x:v>
      </x:c>
      <x:c r="H14" s="14" t="str">
        <x:v>Vahvistettu</x:v>
      </x:c>
      <x:c r="I14" s="14" t="str">
        <x:v>Luokkakohtaiset nettoverot tai millilitrat, oikaisut, nikotiinittomat täyttönesteet, hinnat ja kuluttajamyynti puuttuvat; retailValueStatus on not_computed.</x:v>
      </x:c>
    </x:row>
    <x:row r="15" ht="58.5" customHeight="1">
      <x:c r="A15" s="14" t="str">
        <x:v>Luxemburgilla on 2024-10-01 alkanut valmistevero- ja veromerkkimenetelmä, mutta virallinen vastaus vahvistaa, ettei pyydettyjä kulutukseen luovutettuja määriä, verotuottoa tai kategoriatilastoja ole saatavilla; vähittäismarkkina-arvoa ei ole laskettu.</x:v>
      </x:c>
      <x:c r="B15" s="14" t="str">
        <x:v>Markkinakoko / Luxemburg</x:v>
      </x:c>
      <x:c r="C15" s="14" t="str">
        <x:v>Viranomainen ei toimittanut volyymi- tai verotuottosarjaa eikä erottele pyydettyjä tuotekategorioita. Se osoitti virallisen rekisteröityjen vähittäishintojen listan, joka on vain hinta- ja veromerkkireferenssi.</x:v>
      </x:c>
      <x:c r="D15" s="14" t="str">
        <x:v>https://douanes.public.lu/dam-assets/fr/accises/signes-fiscaux/2024/s48/bareme-e-liquide-s48.pdf ; source/FIVE_COUNTRY_METHOD_SPRINT_2026-07-27.md (Luxembourg)</x:v>
      </x:c>
      <x:c r="E15" s="14" t="str">
        <x:v>2026-07-29</x:v>
      </x:c>
      <x:c r="F15" s="14" t="str">
        <x:v>Ei laskentaa: hintalistaa ei kerrota vahvistamattomalla pakkausmäärällä eikä verokantaa käännetä volyymiksi ilman nettoverotuottoa.</x:v>
      </x:c>
      <x:c r="G15" s="14" t="str">
        <x:v>Puuttuvaa viranomaiskoostetta ei käsitellä nollana. Hintalista ei osoita myyntiä, volyymia, kulutukseen luovutusta tai kuluttajakysyntää.</x:v>
      </x:c>
      <x:c r="H15" s="14" t="str">
        <x:v>Vahvistettu</x:v>
      </x:c>
      <x:c r="I15" s="14" t="str">
        <x:v>Vuosittaiset veronalaiset millilitrat, verotuotto, veromerkkien pakkausmäärät, laitemäärät, sell-through ja kauden lopullisuus puuttuvat; retailValueStatus on not_computed.</x:v>
      </x:c>
    </x:row>
    <x:row r="16" ht="58.5" customHeight="1">
      <x:c r="A16" s="14" t="str">
        <x:v>Norjalla ei ole nykyistä Article 20(7) -vuosimyyntireittiä; vuoden 2026 NOK 5,38 per ml oleva lakisääteinen verokanta ei ole käytännössä voimassa eikä osoita markkina-arvoa.</x:v>
      </x:c>
      <x:c r="B16" s="14" t="str">
        <x:v>Markkinakoko / Norja</x:v>
      </x:c>
      <x:c r="C16" s="14" t="str">
        <x:v>Virallinen ohje kieltää nikotiinituotteiden kaupallisen tuonnin ja myynnin, eikä uutta TPD-reittiä sovelleta; SSB:n ulkomaankauppatiedot ovat vain tulliproxy.</x:v>
      </x:c>
      <x:c r="D16" s="14" t="str">
        <x:v>source/FIVE_COUNTRY_METHOD_SPRINT_2026-07-27.md (Norway)</x:v>
      </x:c>
      <x:c r="E16" s="14" t="str">
        <x:v>2026-07-27</x:v>
      </x:c>
      <x:c r="F16" s="14" t="str">
        <x:v>Veroinversio sallitaan vain, jos käytännössä voimassa olevat luokkakohtaiset nettotulot saadaan; tulliproxy ei muutu kansalliseksi kuluttajamyynniksi.</x:v>
      </x:c>
      <x:c r="G16" s="14" t="str">
        <x:v>Kielto, lakisääteinen verokanta tai puuttuva tietue ei osoita markkinan puuttumista.</x:v>
      </x:c>
      <x:c r="H16" s="14" t="str">
        <x:v>Vahvistettu</x:v>
      </x:c>
      <x:c r="I16" s="14" t="str">
        <x:v>Nikotiinittomien tuotteiden kuluttajamyynti, millilitrat, hinnat, kotimainen tuotanto, varastot, jälleenvienti ja laittomat kanavat puuttuvat; retailValueStatus on not_computed.</x:v>
      </x:c>
    </x:row>
    <x:row r="17" ht="58.5" customHeight="1">
      <x:c r="A17" s="14" t="str">
        <x:v>Italian ADM:n PLI-tuotteiden kulutusverotuotto oli 55 910 871,89 EUR vuonna 2023 ja 84 309 841,41 EUR vuonna 2024; kyse ei ole vähittäismarkkina-arvosta.</x:v>
      </x:c>
      <x:c r="B17" s="14" t="str">
        <x:v>Markkinakoko / Italia</x:v>
      </x:c>
      <x:c r="C17" s="14" t="str">
        <x:v>ADM:n Libro Blu 2024 -raportin taulukko III.9 näyttää 50,79 prosentin verotuottomuutoksen. Vuonna 2024 verotus laajeni myös PLI-tuotteisiin tarkoitettuihin aromeihin ja verotukseen kohdistui muutoksia, joten prosenttia ei tulkita myynti- tai volyymikasvuksi.</x:v>
      </x:c>
      <x:c r="D17" s="14" t="str">
        <x:v>https://www.adm.gov.it/portale/documents/20182/261920520/Libro+blu+2024+-+Relazione.pdf/e46989ce-b39f-a404-3b4b-2af3196cba43 ; source/ITALY_ADM_RESPONSE_BOUNDARY_2026-07-24.md</x:v>
      </x:c>
      <x:c r="E17" s="14" t="str">
        <x:v>2026-07-28</x:v>
      </x:c>
      <x:c r="F17" s="14" t="str">
        <x:v>Suora taulukkotoisto: 55 910 871,89 EUR vuonna 2023; 84 309 841,41 EUR vuonna 2024; ilmoitettu muutos 50,79 prosenttia.</x:v>
      </x:c>
      <x:c r="G17" s="14" t="str">
        <x:v>Verotuotto on fiskaalinen mittari. Sitä ei käännetä litroiksi tai vähittäisarvoksi ilman erillisiä verokantoja, luokkia, oikaisuja ja samaa rajausta.</x:v>
      </x:c>
      <x:c r="H17" s="14" t="str">
        <x:v>Vahvistettu</x:v>
      </x:c>
      <x:c r="I17" s="14" t="str">
        <x:v>Nikotiini- ja nikotiiniton jako, litrat, laitteet, kuluttajahinta, palautukset, maksujen ajoitus ja rajaukseltaan vertailukelpoinen sarja puuttuvat; Italia ei ole donor.</x:v>
      </x:c>
    </x:row>
    <x:row r="18" ht="58.5" customHeight="1">
      <x:c r="A18" s="14" t="str">
        <x:v>Julkinen markkina-aineisto sisältää 174 havaintoa 54 lähteestä; 152 virallista havaintoa jakautuvat 116 markkinamittariin ja 36 Ruotsin FHM-rekisterirakenteen lukuun.</x:v>
      </x:c>
      <x:c r="B18" s="14" t="str">
        <x:v>Markkinakoko</x:v>
      </x:c>
      <x:c r="C18" s="14" t="str">
        <x:v>Markkinamittarit kattavat Kanadan, Saksan, Espanjan, Suomen, Japanin, Uuden-Seelannin, Puolan, Ruotsin ja Yhdysvallat. FHM-luvut kuvaavat vuosien 2018–2026 raportoivia toimijoita sekä ilmoitettuja, aktiivisia ja markkinoilta poistettuja tuotteita; ne eivät ole myyntiä tai markkina-arvoa.</x:v>
      </x:c>
      <x:c r="D18" s="14" t="str">
        <x:v>site/data/market-values.json (julkisen sivuston koneellisesti luettava lähdetiedosto)</x:v>
      </x:c>
      <x:c r="E18" s="14" t="str">
        <x:v>2026-08-02</x:v>
      </x:c>
      <x:c r="F18" s="14" t="str">
        <x:v>174 = 138 markkina- ja mallihavaintoa + 36 FHM-rakennelukua; 152 virallista = 116 markkinamittaria + 36 rakennelukua. Luokat pidetään erillään eikä niitä summata markkinaksi.</x:v>
      </x:c>
      <x:c r="G18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8" s="14" t="str">
        <x:v>Vahvistettu</x:v>
      </x:c>
      <x:c r="I18" s="14" t="str">
        <x:v>Lisämaista tarvitaan yhteismitalliset vuotuiset laite- ja nestemäisen kuluttajavähittäisarvon sarjat.</x:v>
      </x:c>
    </x:row>
    <x:row r="19" ht="58.5" customHeight="1">
      <x:c r="A19" s="14" t="str">
        <x:v>Hyväksyttyjä virallisia koko vuoden kansallisia kuluttajavähittäisarvon luovuttajamarkkinoita on nolla.</x:v>
      </x:c>
      <x:c r="B19" s="14" t="str">
        <x:v>Markkinakoko</x:v>
      </x:c>
      <x:c r="C19" s="14" t="str">
        <x:v>comparableFullYearMarketValueDonors = 0. Viisi ehdokasta on julkaistu samaa kymmenen ehdon protokollaa vasten.</x:v>
      </x:c>
      <x:c r="D19" s="14" t="str">
        <x:v>site/data/market-values.json (modelReadiness, donorProtocol ja donorCandidates)</x:v>
      </x:c>
      <x:c r="E19" s="14" t="str">
        <x:v>2026-07-27</x:v>
      </x:c>
      <x:c r="F19" s="14" t="str">
        <x:v>Ehdokas tulee donor-lukuun vain, kun D1–D10 läpäisevät tarkistuksen; hylätty tai avoin ehto pitää sen luvun ulkopuolella.</x:v>
      </x:c>
      <x:c r="G19" s="14" t="str">
        <x:v>Virallisia alarajoja, institutionaalisia vertailuarvoja, toimitusarvoja, veroja, fyysisiä määriä ja malleja ei nimetä täydelliseksi kuluttajavähittäisarvoksi.</x:v>
      </x:c>
      <x:c r="H19" s="14" t="str">
        <x:v>Vahvistettu</x:v>
      </x:c>
      <x:c r="I19" s="14" t="str">
        <x:v>Tarvitaan vähintään kolme hyväksyttyä donoria sekä alue- ja sääntelytyyppien peitto.</x:v>
      </x:c>
    </x:row>
    <x:row r="20" ht="58.5" customHeight="1">
      <x:c r="A20" s="14" t="str">
        <x:v>Uuden-Seelannin vuoden 2024 erikoistuneiden sähkötupakkakauppiaiden myynniksi ilmoitettiin vähintään 280 milj. NZD.</x:v>
      </x:c>
      <x:c r="B20" s="14" t="str">
        <x:v>Markkinan koko</x:v>
      </x:c>
      <x:c r="C20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20" s="14" t="str">
        <x:v>https://www.health.govt.nz/regulation-legislation/vaping-herbal-smoking-and-smokeless-tobacco/requirements/complete-a-notifiable-product-annual-return/annual-returns-2024</x:v>
      </x:c>
      <x:c r="E20" s="14" t="str">
        <x:v>2024</x:v>
      </x:c>
      <x:c r="F20" s="14" t="str">
        <x:v>Virallista vähintään-otsikkolukua käytetään suoraan; ei ekstrapolointia eikä muiden palautustyyppien yhteenlaskua.</x:v>
      </x:c>
      <x:c r="G20" s="14" t="str">
        <x:v>Luku on alaraja, ei koko maan sähkötupakkamarkkinan arvo.</x:v>
      </x:c>
      <x:c r="H20" s="14" t="str">
        <x:v>Vahvistettu</x:v>
      </x:c>
      <x:c r="I20" s="14" t="str">
        <x:v>Hanki täydellinen valtakunnallinen vain sähkötupakkatuotteita koskeva vähittäiskaupan koonti, GST-perusta ja riippumaton täsmäytys.</x:v>
      </x:c>
    </x:row>
    <x:row r="21" ht="58.5" customHeight="1">
      <x:c r="A21" s="14" t="str">
        <x:v>Uuden-Seelannin 29 virallisen vuoden 2024 XLSX-tiedoston 612 765 numeerisen Total sales -solun raakasumma on 280 684 512,81 NZD.</x:v>
      </x:c>
      <x:c r="B21" s="14" t="str">
        <x:v>Markkinan koko</x:v>
      </x:c>
      <x:c r="C21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21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21" s="14" t="str">
        <x:v>2026-07-24</x:v>
      </x:c>
      <x:c r="F21" s="14" t="str">
        <x:v>Kaikkien 29 virallisen XLSX-tiedoston numeeristen Total sales -solujen suora summa; ei deduplikointia, puhdistusta tai ekstrapolointia.</x:v>
      </x:c>
      <x:c r="G21" s="14" t="str">
        <x:v>Toistuvat rivit säilytetään raakasummassa, koska niiden liiketoiminnallista merkitystä ei tunneta.</x:v>
      </x:c>
      <x:c r="H21" s="14" t="str">
        <x:v>Tuettu</x:v>
      </x:c>
      <x:c r="I21" s="14" t="str">
        <x:v>Raakasumma ei ole puhdistettu kansallinen markkina-arvo. Yleisvähittäiskauppa, puuttuvat ilmoitukset ja GST-käsittely ovat avoimia.</x:v>
      </x:c>
    </x:row>
    <x:row r="22" ht="93" customHeight="1">
      <x:c r="A22" s="14" t="str">
        <x:v>Uuden-Seelannin vuoden 2024 AIS/AVP-erikoisvähittäiskaupan tunnistettu sähkötupakkasumma on 274 180 410,21 NZD; donor-testi läpäisee 7/10 ehtoa, mutta maa ei ole hyväksytty donor.</x:v>
      </x:c>
      <x:c r="B22" s="14" t="str">
        <x:v>Markkinakoko</x:v>
      </x:c>
      <x:c r="C22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22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https://www.health.govt.nz/system/files/2025-11/notifiable-products-annual-sales-return-2025-user-guide.pdf ; source/NZ_2024_DONOR_CLOSURE_PACK.md ; source/NZ_2024_D8_D10_OFFICIAL_SOURCE_AUDIT.md ; source/NZ_DONOR_FOLLOWUP_PACK_2026-08-07.md ; source/NZ_2024_WORKBOOK_MANIFEST.json ; source/NZ_2024_PRODUCT_SCOPE_AUDIT.json ; scripts/analyze_nz_2024_returns.py</x:v>
      </x:c>
      <x:c r="E22" s="14" t="str">
        <x:v>2026-07-31</x:v>
      </x:c>
      <x:c r="F22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22" s="14" t="str">
        <x:v>Deterministinen tuoterajaus on julkinen. RPS kerää tuotelajeja ja määriä mutta ei havaittua retail-arvoa. GST-perusta on tuntematon. Stats NZ:n lopullinen 2024 HS10 -kontrolli on tullivaiheen herkkyys eikä riippumaton retail-täsmäytys.</x:v>
      </x:c>
      <x:c r="H22" s="14" t="str">
        <x:v>Tuettu</x:v>
      </x:c>
      <x:c r="I22" s="14" t="str">
        <x:v>D5 hylätään puuttuvan kansallisen kanavapeiton vuoksi; D8:n GST-perusta ja D10:n riippumaton täsmäytys ovat avoimia. Donor-portti pysyy 0/3:ssa.</x:v>
      </x:c>
    </x:row>
    <x:row r="23" ht="58.5" customHeight="1">
      <x:c r="A23" s="14" t="str">
        <x:v>Stats NZ:n valittu vuoden 2024 HS10-kontrolli tuottaa 183 370 681 ja 197 070 322 NZD:n nettorajaproxyt; ne eivät ole vähittäismarkkina-arvoja.</x:v>
      </x:c>
      <x:c r="B23" s="14" t="str">
        <x:v>Markkinakoko</x:v>
      </x:c>
      <x:c r="C23" s="14" t="str">
        <x:v>Valitut tuonnit ovat 189 640 890 NZD tullausarvona ja 203 340 531 NZD CIF-arvona. Valitut viennit ovat 6 270 209 NZD FOB-arvona. Kontrolli käyttää lukittua vuoden 2024 tuotekoodisääntöä.</x:v>
      </x:c>
      <x:c r="D23" s="14" t="str">
        <x:v>https://www.stats.govt.nz/large-datasets/csv-files-for-download/overseas-merchandise-trade-datasets/ ; https://www3.stats.govt.nz/HS10_by_Country/2024_Imports_HS10.zip ; https://www3.stats.govt.nz/HS10_by_Country/2024_Exports_HS10.zip ; source/NZ_CA_DE_DONOR_CONTROL_SPRINT_2026-08-02.md</x:v>
      </x:c>
      <x:c r="E23" s="14" t="str">
        <x:v>2026-08-02</x:v>
      </x:c>
      <x:c r="F23" s="14" t="str">
        <x:v>189 640 890 − 6 270 209 = 183 370 681 NZD; 203 340 531 − 6 270 209 = 197 070 322 NZD. Ehdokas / proxyt = 1,495224911 ja 1,391282094.</x:v>
      </x:c>
      <x:c r="G23" s="14" t="str">
        <x:v>Rajavaihe, tuoterajaus, kotimainen tuotanto, varastot, jälleenvienti, katteet, kanavat, GST ja kuluttajamyynti eivät täsmää vähittäisrajaan.</x:v>
      </x:c>
      <x:c r="H23" s="14" t="str">
        <x:v>Vahvistettu</x:v>
      </x:c>
      <x:c r="I23" s="14" t="str">
        <x:v>Suhteet eivät ole kate, korotuskerroin, validointiväli tai markkinahaarukka. D10 pysyy avoinna ja NZ pysyy 7/10 EI HYVÄKSYTTY.</x:v>
      </x:c>
    </x:row>
    <x:row r="24" ht="58.5" customHeight="1">
      <x:c r="A24" s="14" t="str">
        <x:v>FTC:n virallisista taulukoista johdettu suljettujen järjestelmien ja kertakäyttötuotteiden raportoitu myynti oli 2 763 284 338 USD vuonna 2021.</x:v>
      </x:c>
      <x:c r="B24" s="14" t="str">
        <x:v>Markkinakoko</x:v>
      </x:c>
      <x:c r="C24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24" s="14" t="str">
        <x:v>https://www.ftc.gov/reports/e-cigarette-report-2015-2018 ; https://www.ftc.gov/reports/e-cigarette-report-2021 ; source/US_FTC_2015_2021_REPORTED_SALES.md</x:v>
      </x:c>
      <x:c r="E24" s="14" t="str">
        <x:v>2021</x:v>
      </x:c>
      <x:c r="F24" s="14" t="str">
        <x:v>FTC-taulukoiden cartridge systems + disposable e-cigarettes -myynnin vuosittainen summa.</x:v>
      </x:c>
      <x:c r="G24" s="14" t="str">
        <x:v>Raportoijajoukko muuttuu, open-system-tuotteet puuttuvat, taso on valmistajaraportointi ja veroperustaa ei ilmoiteta.</x:v>
      </x:c>
      <x:c r="H24" s="14" t="str">
        <x:v>Tuettu</x:v>
      </x:c>
      <x:c r="I24" s="14" t="str">
        <x:v>Ei täydellinen kansallinen kuluttajavähittäisarvo eikä hyväksytty donor; tarvitaan avoin POS- tai kuluttajamyyntisarja ja veroperusta.</x:v>
      </x:c>
    </x:row>
    <x:row r="25" ht="58.5" customHeight="1">
      <x:c r="A25" s="14" t="str">
        <x:v>Saksan yksityinen DE-BLIND-1.0.0-audit läpäisi vuosien 2023 ja 2024 vuosirajat sekä yhdistetyn rajan; toimittaja-arvot ja tarkat poikkeamat pidetään salassa.</x:v>
      </x:c>
      <x:c r="B25" s="14" t="str">
        <x:v>Markkinakoko / Saksa</x:v>
      </x:c>
      <x:c r="C25" s="14" t="str">
        <x:v>Viralliset lopulliset ankkurit ja ennalta rekisteröidyt vuosittaiset sekä yhdistetty numeerinen raja olivat julkisesti lukittuja ennen lisensoidun otteen yksityistä tarkastusta. Kaikki kolme numeerista testiä läpäistiin.</x:v>
      </x:c>
      <x:c r="D25" s="14" t="str">
        <x:v>https://genesis.destatis.de/datenbank/online/statistic/73411/table/73411-0003/ ; source/NZ_CA_DE_DONOR_CONTROL_SPRINT_2026-08-02.md ; source/GERMANY_VENDOR_AUDIT_BOUNDARY_2026-08-03.md</x:v>
      </x:c>
      <x:c r="E25" s="14" t="str">
        <x:v>2026-08-03</x:v>
      </x:c>
      <x:c r="F25" s="14" t="str">
        <x:v>Vuotuinen poikkeama = |toimittajan litrat / viralliset litrat − 1|; yhteispoikkeama = |toimittajan kahden vuoden summa / 2 525 000 − 1|.</x:v>
      </x:c>
      <x:c r="G25" s="14" t="str">
        <x:v>Numeerinen osuma ei yksin osoita samaa tuotetta, veroperustaa, kanavaa, tapahtumavaihetta tai lähdelinjaa. Rajoja ei sovitettu yksityisiin arvoihin.</x:v>
      </x:c>
      <x:c r="H25" s="14" t="str">
        <x:v>Tuettu</x:v>
      </x:c>
      <x:c r="I25" s="14" t="str">
        <x:v>Julkinen lukija ei voi toisintaa lisensoitujen toimittaja-arvojen vertailua. Saksa ei ole donor, Euromonitor on 1/6 ja EI PISTEYTETTY, laajempi paketti HOLD ja Saksan retail-arvo not_computed.</x:v>
      </x:c>
    </x:row>
    <x:row r="26" ht="58.5" customHeight="1">
      <x:c r="A26" s="14" t="str">
        <x:v>Julkinen sivusto erottaa kolme evidenssikaistaa ja estää maailman kokonaisarvon, kun hyväksytty donor-portti on 0/3.</x:v>
      </x:c>
      <x:c r="B26" s="14" t="str">
        <x:v>Markkinakoko</x:v>
      </x:c>
      <x:c r="C26" s="14" t="str">
        <x:v>Viisi ehdokasta on arvioitu samoilla 10 D1–D10-kriteerillä; yksikään ei ole hyväksytty. Lisäksi alue- ja sääntelytyyppien peittoporttien on läpäistävä tarkistus.</x:v>
      </x:c>
      <x:c r="D26" s="14" t="str">
        <x:v>site/data/evidence-lanes.json ; site/data/donor-cockpit.json ; site/data/third-donor-screen.json ; site/data/country-scenarios.json</x:v>
      </x:c>
      <x:c r="E26" s="14" t="str">
        <x:v>2026-08-02</x:v>
      </x:c>
      <x:c r="F26" s="14" t="str">
        <x:v>Fail-closed-portit: puuttuva tai virheellinen syöte tuottaa tilan not_computed eikä nollaa.</x:v>
      </x:c>
      <x:c r="G26" s="14" t="str">
        <x:v>Vain tarkistetut julkiset koontitiedot ja menetelmät ovat julkisella kaistalla; lisensoitu ja yksityinen aineisto eivät siirry repositorioon.</x:v>
      </x:c>
      <x:c r="H26" s="14" t="str">
        <x:v>Vahvistettu</x:v>
      </x:c>
      <x:c r="I26" s="14" t="str">
        <x:v>Maailmanarvo pysyy laskematta, kunnes vähintään kolme donoria sekä molemmat peittoportit hyväksytään.</x:v>
      </x:c>
    </x:row>
    <x:row r="27" ht="58.5" customHeight="1">
      <x:c r="A27" s="14" t="str">
        <x:v>Euroopan komissio julkaisee vuoden 2023 EU:n sähkötupakkamarkkinan 4,99 mrd euron vertailuarvon.</x:v>
      </x:c>
      <x:c r="B27" s="14" t="str">
        <x:v>Markkinan koko</x:v>
      </x:c>
      <x:c r="C27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7" s="14" t="str">
        <x:v>https://eur-lex.europa.eu/legal-content/EN/TXT/?uri=SWD%3A2025%3A0560%3AFIN ; https://eur-lex.europa.eu/legal-content/EN/TXT/?uri=SWD%3A2026%3A111%3AFIN</x:v>
      </x:c>
      <x:c r="E27" s="14" t="str">
        <x:v>2023</x:v>
      </x:c>
      <x:c r="F27" s="14" t="str">
        <x:v>Kahden Euroopan komission valmisteluasiakirjan taulukko-, sivu- ja lähdeviitteiden ristiinvertailu; lukuja ei summata.</x:v>
      </x:c>
      <x:c r="G27" s="14" t="str">
        <x:v>Komissio julkaisee vertailuarvon, mutta sen pohjana on kaupallinen Euromonitor-aineisto. Täysi menetelmä, veroperusta ja uudelleenkäytettävä maadata eivät ole julkisia, ja kolmesta EU-maasta ei ole tietoa.</x:v>
      </x:c>
      <x:c r="H27" s="14" t="str">
        <x:v>Tuettu</x:v>
      </x:c>
      <x:c r="I27" s="14" t="str">
        <x:v>Hanki lisensoitu maataulukko ja menetelmä, tapahtumamääritelmä, kanavapeitto, veroperusta sekä riippumaton täsmäytys; täydennä Kypros, Luxemburg ja Malta.</x:v>
      </x:c>
    </x:row>
    <x:row r="28" ht="58.5" customHeight="1">
      <x:c r="A28" s="14" t="str">
        <x:v>Kanadan virallinen vuoden 2024 kuluttajavähittäismyynnin piste-estimaatti on 1 219 160 000 CAD eli 822 583 715,21 EUR; donor-testi läpäisee 7/10 ehtoa.</x:v>
      </x:c>
      <x:c r="B28" s="14" t="str">
        <x:v>Markkinakoko</x:v>
      </x:c>
      <x:c r="C28" s="14" t="str">
        <x:v>Neljän kvartaalin summa on 1 219 160 000 CAD; 12 kuukauden samaan kyselyyn perustuva summa on 1 219 161 000 CAD. Health Canadan vuoden 2024 valmistaja-/maahantuojatoimitusten nettoarvo on 1 160 753 796,78 CAD.</x:v>
      </x:c>
      <x:c r="D28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source/CANADA_RCS_TAX_BASIS_CLARIFICATION_2026-07-29.md ; source/CANADA_RCS_SCOPE_QUALITY_CLARIFICATION_2026-07-30.md ; source/CANADA_2024_D5_D7_D10_OFFICIAL_SOURCE_AUDIT.md</x:v>
      </x:c>
      <x:c r="E28" s="14" t="str">
        <x:v>2026-07-31</x:v>
      </x:c>
      <x:c r="F28" s="14" t="str">
        <x:v>Kuukausi − kvartaali = 1 000 CAD (0,000082 %). Retail − toimitukset = 58 406 203,22 CAD; retail / toimitukset − 1 = 5,031748 %. ECB 2024: 1 219 160 000 / 1,482110546875 = 822 583 715,21 EUR.</x:v>
      </x:c>
      <x:c r="G28" s="14" t="str">
        <x:v>D8 läpäisee: tarkistetuille kvartaali-, kuukausi- ja arkistotaulukoille on vahvistettu CAD, GST/HST/PST/QST-verojen poissulku sekä hintaan upotettujen lisäverojen mukanaolo. Lisäveroihin voivat kuulua liittovaltion, lisä- ja provinssien vaping-verot. Kuukausireitti on saman kyselyn QA, ei D10.</x:v>
      </x:c>
      <x:c r="H28" s="14" t="str">
        <x:v>Tuettu</x:v>
      </x:c>
      <x:c r="I28" s="14" t="str">
        <x:v>D5 hylättiin, koska NAICS 459999 -erikoiskauppa jää vahvistetun kohdejoukon 441100–459993 ulkopuolelle; kehikkoon kuuluva verkkomyynti ei kata pois rajattuja erikois-, ulkomaisia suora- tai rajakauppakanavia. D7 hylättiin, koska täsmälliset NAPCS 5619122 -vastaus-, imputointi-, CV-, keskivirhe-, luottamusväli- ja kovarianssimittarit puuttuvat. D10 on avoin; Kanada ei ole hyväksytty donor.</x:v>
      </x:c>
    </x:row>
    <x:row r="29" ht="58.5" customHeight="1">
      <x:c r="A29" s="14" t="str">
        <x:v>Health Canadan neljä vuoden 2024 tuoteryhmää summautuvat 1 160 753 796,78 CAD:n nettotoimitusarvoon, 118 901 910 yksikköön ja 1 251 843 litraan.</x:v>
      </x:c>
      <x:c r="B29" s="14" t="str">
        <x:v>Markkinakoko</x:v>
      </x:c>
      <x:c r="C29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9" s="14" t="str">
        <x:v>https://health-infobase.canada.ca/substance-use/vaping/sales/ ; https://laws-lois.justice.gc.ca/eng/regulations/SOR-2023-123/FullText.html ; source/CANADA_2024_DONOR_CLOSURE_PACK.md</x:v>
      </x:c>
      <x:c r="E29" s="14" t="str">
        <x:v>2026-07-25</x:v>
      </x:c>
      <x:c r="F29" s="14" t="str">
        <x:v>30 207 822,87 + 558 947 200,26 + 316 329 158,83 + 255 269 614,82 = 1 160 753 796,78 CAD; osuudet lasketaan tästä summasta.</x:v>
      </x:c>
      <x:c r="G29" s="14" t="str">
        <x:v>Nettomyynti on myynti vähennettynä palautuksilla ja arvot ilmoitetaan ilman veroja ja maksuja. Nestettä sisältävä laite tai osa yhdistää laite- ja neste-arvoa.</x:v>
      </x:c>
      <x:c r="H29" s="14" t="str">
        <x:v>Vahvistettu</x:v>
      </x:c>
      <x:c r="I29" s="14" t="str">
        <x:v>Toimitusosuuksia ei saa soveltaa retail-arvoon laite–neste-jaoksi eikä eri tapahtumatasoja summata.</x:v>
      </x:c>
    </x:row>
    <x:row r="30" ht="58.5" customHeight="1">
      <x:c r="A30" s="14" t="str">
        <x:v>Saksan verotettu nestemäärä kasvoi 1.241 milj. l:sta 1.518 milj. l:aan vuosina 2023–2025.</x:v>
      </x:c>
      <x:c r="B30" s="14" t="str">
        <x:v>Markkinan koko</x:v>
      </x:c>
      <x:c r="C30" s="14" t="str">
        <x:v>2023 ja 2024 lopullisia; 2025 alustava.</x:v>
      </x:c>
      <x:c r="D30" s="14" t="str">
        <x:v>https://genesis.destatis.de/datenbank/online/statistic/73411/table/73411-0003</x:v>
      </x:c>
      <x:c r="E30" s="14" t="str">
        <x:v>2023–2025</x:v>
      </x:c>
      <x:c r="F30" s="14" t="str">
        <x:v>Destatis-taulukon nettomäärät, ei ekstrapolointia.</x:v>
      </x:c>
      <x:c r="G30" s="14" t="str">
        <x:v>Mittaa verotettua nestettä, ei laitteita tai laitonta myyntiä.</x:v>
      </x:c>
      <x:c r="H30" s="14" t="str">
        <x:v>Vahvistettu</x:v>
      </x:c>
      <x:c r="I30" s="14" t="str">
        <x:v>Vuoden 2025 lopullinen luku ja vähittäismyyntitiedot puuttuvat.</x:v>
      </x:c>
    </x:row>
    <x:row r="31" ht="58.5" customHeight="1">
      <x:c r="A31" s="14" t="str">
        <x:v>Saksan tupakankorvikkeiden valmisteverotulot olivat 404 milj. euroa vuonna 2025 (alustava).</x:v>
      </x:c>
      <x:c r="B31" s="14" t="str">
        <x:v>Markkinan koko</x:v>
      </x:c>
      <x:c r="C31" s="14" t="str">
        <x:v>Alustavat viralliset kassaperusteiset valmisteverotulot. Verotulo ei ole myyntituloa eikä vähittäismarkkina-arvoa.</x:v>
      </x:c>
      <x:c r="D31" s="14" t="str">
        <x:v>https://genesis.destatis.de/datenbank/online/statistic/73411/table/73411-0003</x:v>
      </x:c>
      <x:c r="E31" s="14" t="str">
        <x:v>2025</x:v>
      </x:c>
      <x:c r="F31" s="14" t="str">
        <x:v>Virallinen kassaperusteinen verohavainto.</x:v>
      </x:c>
      <x:c r="G31" s="14" t="str">
        <x:v>Verotulo ei ole myyntitulo tai vähittäismarkkina-arvo.</x:v>
      </x:c>
      <x:c r="H31" s="14" t="str">
        <x:v>Vahvistettu</x:v>
      </x:c>
      <x:c r="I31" s="14" t="str">
        <x:v>Tarvitaan lopullinen 2025 tilasto ja tuoteryhmäkohtainen veropohja.</x:v>
      </x:c>
    </x:row>
    <x:row r="32" ht="58.5" customHeight="1">
      <x:c r="A32" s="14" t="str">
        <x:v>Suomessa verotettiin 11 801,062 litraa nikotiininestettä vuonna 2025.</x:v>
      </x:c>
      <x:c r="B32" s="14" t="str">
        <x:v>Markkinan koko</x:v>
      </x:c>
      <x:c r="C32" s="14" t="str">
        <x:v>Virallinen koko vuoden nikotiinillisen sähkösavukenesteen määrä. Nikotiinittoman nesteen koko vuoden arvo on salattu; fyysinen määrä ei sisällä laitteita eikä ole vähittäismarkkina-arvo.</x:v>
      </x:c>
      <x:c r="D32" s="14" t="str">
        <x:v>https://vero2.stat.fi/PXWeb/api/v1/en/Vero/Valmistevero/vvt_010.px</x:v>
      </x:c>
      <x:c r="E32" s="14" t="str">
        <x:v>2025</x:v>
      </x:c>
      <x:c r="F32" s="14" t="str">
        <x:v>Verohallinnon PXWeb-havainto.</x:v>
      </x:c>
      <x:c r="G32" s="14" t="str">
        <x:v>Verotettu nikotiinineste ei kata koko sähkötupakkamarkkinaa.</x:v>
      </x:c>
      <x:c r="H32" s="14" t="str">
        <x:v>Vahvistettu</x:v>
      </x:c>
      <x:c r="I32" s="14" t="str">
        <x:v>Laitteet, nikotiinittomat tuotteet, veroton ja laiton kauppa puuttuvat.</x:v>
      </x:c>
    </x:row>
    <x:row r="33" ht="58.5" customHeight="1">
      <x:c r="A33" s="14" t="str">
        <x:v>Suomen nikotiininesteiden valmisteverotulot olivat 3 540 319 euroa vuonna 2025.</x:v>
      </x:c>
      <x:c r="B33" s="14" t="str">
        <x:v>Markkinan koko</x:v>
      </x:c>
      <x:c r="C33" s="14" t="str">
        <x:v>Viralliset koko vuoden nikotiinillisen sähkösavukenesteen valmisteverotulot. Nikotiinittoman nesteen koko vuoden arvo on salattu; verotulo ei ole myyntituloa eikä vähittäismarkkina-arvoa.</x:v>
      </x:c>
      <x:c r="D33" s="14" t="str">
        <x:v>https://vero2.stat.fi/PXWeb/api/v1/en/Vero/Valmistevero/vvt_010.px</x:v>
      </x:c>
      <x:c r="E33" s="14" t="str">
        <x:v>2025</x:v>
      </x:c>
      <x:c r="F33" s="14" t="str">
        <x:v>Verohallinnon PXWeb-havainto.</x:v>
      </x:c>
      <x:c r="G33" s="14" t="str">
        <x:v>Verotulo ei ole kuluttajamyynti.</x:v>
      </x:c>
      <x:c r="H33" s="14" t="str">
        <x:v>Vahvistettu</x:v>
      </x:c>
      <x:c r="I33" s="14" t="str">
        <x:v>Tarvitaan vähittäismyynti- ja hintadata.</x:v>
      </x:c>
    </x:row>
    <x:row r="34" ht="58.5" customHeight="1">
      <x:c r="A34" s="14" t="str">
        <x:v>Puolan virallinen sähkötupakkanesteiden virta oli 1 451 529 litraa vuonna 2020, 277 265 litraa vuonna 2021, 416 088 litraa vuonna 2022 ja 805 441 litraa vuonna 2023.</x:v>
      </x:c>
      <x:c r="B34" s="14" t="str">
        <x:v>Markkinakoko</x:v>
      </x:c>
      <x:c r="C34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34" s="14" t="str">
        <x:v>https://api.sejm.gov.pl/sejm/term10/interpellations/attachment/ATTDDEJZ5/i07255-o1.pdf</x:v>
      </x:c>
      <x:c r="E34" s="14" t="str">
        <x:v>2020–2023</x:v>
      </x:c>
      <x:c r="F34" s="14" t="str">
        <x:v>Neljän virallisen vuosihavainnon suora toisto; eri vuosia ei summata markkina-arvoksi.</x:v>
      </x:c>
      <x:c r="G34" s="14" t="str">
        <x:v>Julkaistu taulukko ei erittele kotimaan myyntiä, EU-sisäisiä hankintoja ja tuontia eikä sisällä laitteiden arvoa.</x:v>
      </x:c>
      <x:c r="H34" s="14" t="str">
        <x:v>Vahvistettu</x:v>
      </x:c>
      <x:c r="I34" s="14" t="str">
        <x:v>Tarvitaan kuluttajavähittäisarvo, kanavapeitto, veroperusta ja riippumaton täsmäytys.</x:v>
      </x:c>
    </x:row>
    <x:row r="35" ht="58.5" customHeight="1">
      <x:c r="A35" s="14" t="str">
        <x:v>Puolan vuoden 2025 verosilta antaa 4 382 500 johdettua verollista laajan höyrystyslaiteryhmän yksikköä ja 62 500 johdettua verollista osasarjaa; luvut eivät ole sähkötupakkakohtaisia.</x:v>
      </x:c>
      <x:c r="B35" s="14" t="str">
        <x:v>Markkinakoko</x:v>
      </x:c>
      <x:c r="C35" s="14" t="str">
        <x:v>Virallinen parlamenttivastaus raportoi 993,1 milj. PLN e-nesteistä, 175,3 milj. PLN laajasta laiteryhmästä ja 2,5 milj. PLN osasarjoista. Lakisääteinen ryhmä sisältää uudelleentäytettävät sähkötupakat, kuumennettavan tupakan lämmittimet ja monitoimilaitteet. Vero oli 40 PLN yksiköltä 1.7.2025 alkaen.</x:v>
      </x:c>
      <x:c r="D35" s="14" t="str">
        <x:v>https://api.sejm.gov.pl/sejm/term10/interpellations/attachment/ATTDVKHSJ/i17526-o1.pdf ; https://www.podatki.gov.pl/akcyza/stawki-podatkowe/ ; https://www.podatki.gov.pl/akcyza/komunikaty-w-zakresie-podatku-akcyzowego ; https://api.sejm.gov.pl/eli/acts/DU/2025/698/text.pdf ; source/POLAND_D1_D10_PREASSESSMENT_2026-07-31.md</x:v>
      </x:c>
      <x:c r="E35" s="14" t="str">
        <x:v>2026-07-31</x:v>
      </x:c>
      <x:c r="F35" s="14" t="str">
        <x:v>175 300 000 / 40 = 4 382 500 laajan ryhmän verollista yksikköä; 2 500 000 / 40 = 62 500 verollista osasarjaa.</x:v>
      </x:c>
      <x:c r="G35" s="14" t="str">
        <x:v>Johdettu veropohja kattaa vain 1.7.2025 alkaen verotetut laitteet ja osasarjat. AKC-4/R vaatii laitetyypin erittelyn, mutta nykyinen julkinen koonti ei julkaise sitä. Luvut eivät osoita kuluttajahintaa, vähittäismyyntiä tai e-savukekohtaista määrää.</x:v>
      </x:c>
      <x:c r="H35" s="14" t="str">
        <x:v>Vahvistettu</x:v>
      </x:c>
      <x:c r="I35" s="14" t="str">
        <x:v>Tarvitaan AKC-4/R:n e-savuke–lämmitin–monitoimilaitejako, veron kuukausijakauma, vähittäishinnat, kanavapeitto ja riippumaton täsmäytys. Puolalle ei anneta donor-pistemäärää ilman maa–vuosi retail-arvoa.</x:v>
      </x:c>
    </x:row>
    <x:row r="36" ht="58.5" customHeight="1">
      <x:c r="A36" s="14" t="str">
        <x:v>Ruotsin julkinen evidenssi yhdistää vuoden 2024 veroankkurin ja 36 virallista FHM-rekisterirakenteen lukua vuosilta 2018–2026; rekisteriluvut eivät ole myyntiä tai markkina-arvoa.</x:v>
      </x:c>
      <x:c r="B36" s="14" t="str">
        <x:v>Markkinakoko</x:v>
      </x:c>
      <x:c r="C36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6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6" s="14" t="str">
        <x:v>2026-07-24</x:v>
      </x:c>
      <x:c r="F36" s="14" t="str">
        <x:v>36 = 9 vuotta (2018–2026) × 4 rekisterirakenteen mittaria. Veroankkuri, 116 markkinamittaria ja 36 rakennelukua pidetään erillään.</x:v>
      </x:c>
      <x:c r="G36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6" s="14" t="str">
        <x:v>Vahvistettu</x:v>
      </x:c>
      <x:c r="I36" s="14" t="str">
        <x:v>Tarvitaan toteutunut kuluttajamyynti EUR-määräisenä, laitekappaleet ja ml-määrät sekä julkisesti uudelleenkäytettävä numeerinen FHM-sarja.</x:v>
      </x:c>
    </x:row>
    <x:row r="37" ht="58.5" customHeight="1">
      <x:c r="A37" s="14" t="str">
        <x:v>Kolme kaupallista vuoden 2025 globaaliarviota muodostavat 26,0–46,32 mrd USD haarukan.</x:v>
      </x:c>
      <x:c r="B37" s="14" t="str">
        <x:v>Markkinan koko</x:v>
      </x:c>
      <x:c r="C37" s="14" t="str">
        <x:v>IMARC 26,0; Grand View Research 45,7; Fortune Business Insights 46,32 mrd USD.</x:v>
      </x:c>
      <x:c r="D37" s="14" t="str">
        <x:v>https://www.imarcgroup.com/e-cigarette-market ; https://www.grandviewresearch.com/industry-analysis/e-cigarette-vaping-market ; https://www.fortunebusinessinsights.com/e-cigarette-and-vaping-market-114882</x:v>
      </x:c>
      <x:c r="E37" s="14" t="str">
        <x:v>2025</x:v>
      </x:c>
      <x:c r="F37" s="14" t="str">
        <x:v>Minimi 26000000000, maksimi 46320000000; arvioita verrataan, ei summata.</x:v>
      </x:c>
      <x:c r="G37" s="14" t="str">
        <x:v>Tuoterajaukset ja menetelmät eivät välttämättä ole yhteismitallisia.</x:v>
      </x:c>
      <x:c r="H37" s="14" t="str">
        <x:v>Tuettu</x:v>
      </x:c>
      <x:c r="I37" s="14" t="str">
        <x:v>Hanki raporttien täydet metodit ja harmonisoi tuoterajaus.</x:v>
      </x:c>
    </x:row>
    <x:row r="38" ht="58.5" customHeight="1">
      <x:c r="A38" s="14" t="str">
        <x:v>Saksan vuoden 2025 verotetun nesteen vähittäismyyntivastaavuuden mallihaitari on 667,92–1 654,62 milj. euroa.</x:v>
      </x:c>
      <x:c r="B38" s="14" t="str">
        <x:v>Taloudellinen malli</x:v>
      </x:c>
      <x:c r="C38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8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8" s="14" t="str">
        <x:v>2025 määrä / 2026 hinnat</x:v>
      </x:c>
      <x:c r="F38" s="14" t="str">
        <x:v>volume_litres * 1000 * retail_price_eur_per_ml</x:v>
      </x:c>
      <x:c r="G38" s="14" t="str">
        <x:v>Kolme yksittäistä verkkokauppahintaa; syötevuodet 2025 ja 2026; vain verotettu neste.</x:v>
      </x:c>
      <x:c r="H38" s="14" t="str">
        <x:v>Oletus</x:v>
      </x:c>
      <x:c r="I38" s="14" t="str">
        <x:v>Tarvitaan edustava hintakori, tuotemix ja kanavamarginaalit sekä mallivuoden 2025 hinnat.</x:v>
      </x:c>
    </x:row>
    <x:row r="39" ht="58.5" customHeight="1">
      <x:c r="A39" s="14" t="str">
        <x:v>Atlas ei ole vielä lainanantajavalmis markkina-arvio.</x:v>
      </x:c>
      <x:c r="B39" s="14" t="str">
        <x:v>Rahoitusteesi</x:v>
      </x:c>
      <x:c r="C39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9" s="14" t="str">
        <x:v>site/data/atlas.json (readiness)</x:v>
      </x:c>
      <x:c r="E39" s="14" t="str">
        <x:v>2026-07-24</x:v>
      </x:c>
      <x:c r="F39" s="14" t="str">
        <x:v>Julkisen datasetin oma readiness-luokitus.</x:v>
      </x:c>
      <x:c r="G39" s="14" t="str">
        <x:v>Markkinadata ja IP-arvo pidetään erillään.</x:v>
      </x:c>
      <x:c r="H39" s="14" t="str">
        <x:v>Vahvistettu</x:v>
      </x:c>
      <x:c r="I39" s="14" t="str">
        <x:v>Täytä blocker-lista ennen vakuusarvo- tai yritysarvopäätelmää.</x:v>
      </x:c>
    </x:row>
    <x:row r="40" ht="58.5" customHeight="1">
      <x:c r="A40" s="14" t="str">
        <x:v>Julkinen aineisto ei sisällä riippumatonta IVS-arvonmääritystä.</x:v>
      </x:c>
      <x:c r="B40" s="14" t="str">
        <x:v>Taloudellinen malli</x:v>
      </x:c>
      <x:c r="C40" s="14" t="str">
        <x:v>Readiness-blocker ilmoittaa riippumattoman arvonmäärityksen puuttuvan.</x:v>
      </x:c>
      <x:c r="D40" s="14" t="str">
        <x:v>site/data/atlas.json (readiness.blockers)</x:v>
      </x:c>
      <x:c r="E40" s="14" t="str">
        <x:v>2026-07-24</x:v>
      </x:c>
      <x:c r="F40" s="14" t="str">
        <x:v>Aineiston puute.</x:v>
      </x:c>
      <x:c r="G40" s="14" t="str">
        <x:v>Ei oletuksia.</x:v>
      </x:c>
      <x:c r="H40" s="14" t="str">
        <x:v>Puuttuu</x:v>
      </x:c>
      <x:c r="I40" s="14" t="str">
        <x:v>Tilaa riippumaton IP- ja tarvittaessa yritysarvonmääritys skenaarioineen.</x:v>
      </x:c>
    </x:row>
    <x:row r="41" ht="58.5" customHeight="1">
      <x:c r="A41" s="14" t="str">
        <x:v>Julkinen aineisto ei osoita toteutunutta lisenssi- tai vahingonkorvauskassavirtaa.</x:v>
      </x:c>
      <x:c r="B41" s="14" t="str">
        <x:v>Kaupallistamismalli</x:v>
      </x:c>
      <x:c r="C41" s="14" t="str">
        <x:v>Readiness-blocker ilmoittaa realisoituneen kassavirran puuttuvan.</x:v>
      </x:c>
      <x:c r="D41" s="14" t="str">
        <x:v>site/data/atlas.json (readiness.blockers)</x:v>
      </x:c>
      <x:c r="E41" s="14" t="str">
        <x:v>2026-07-24</x:v>
      </x:c>
      <x:c r="F41" s="14" t="str">
        <x:v>Aineiston puute.</x:v>
      </x:c>
      <x:c r="G41" s="14" t="str">
        <x:v>Ei oletuksia.</x:v>
      </x:c>
      <x:c r="H41" s="14" t="str">
        <x:v>Puuttuu</x:v>
      </x:c>
      <x:c r="I41" s="14" t="str">
        <x:v>Lisää allekirjoitetut sopimukset, laskut, maksutositteet ja saamisten täsmäytys.</x:v>
      </x:c>
    </x:row>
    <x:row r="42" ht="58.5" customHeight="1">
      <x:c r="A42" s="14" t="str">
        <x:v>Julkinen aineisto ei vahvista testituloksia tai riippumatonta teknistä validointia.</x:v>
      </x:c>
      <x:c r="B42" s="14" t="str">
        <x:v>Tekninen erottautuminen</x:v>
      </x:c>
      <x:c r="C42" s="14" t="str">
        <x:v>Patenttiselitys kuvaa ratkaisun; erillistä testirekisteriä ei ole julkisessa datassa.</x:v>
      </x:c>
      <x:c r="D42" s="14" t="str">
        <x:v>site/data/patent-history.json</x:v>
      </x:c>
      <x:c r="E42" s="14" t="str">
        <x:v>2026-07-24</x:v>
      </x:c>
      <x:c r="F42" s="14" t="str">
        <x:v>Aineiston puute suhteessa tekniseen suorituskykyväitteeseen.</x:v>
      </x:c>
      <x:c r="G42" s="14" t="str">
        <x:v>Patenttijulkaisu ei ole tuotetestiraportti.</x:v>
      </x:c>
      <x:c r="H42" s="14" t="str">
        <x:v>Puuttuu</x:v>
      </x:c>
      <x:c r="I42" s="14" t="str">
        <x:v>Hanki testiprotokolla, riippumaton laboratorio, tulokset ja raakadata.</x:v>
      </x:c>
    </x:row>
    <x:row r="43" ht="58.5" customHeight="1">
      <x:c r="A43" s="14" t="str">
        <x:v>Julkinen aineisto ei vahvista piloteja tai nimettyä asiakasnäyttöä.</x:v>
      </x:c>
      <x:c r="B43" s="14" t="str">
        <x:v>Validointi</x:v>
      </x:c>
      <x:c r="C43" s="14" t="str">
        <x:v>Julkisessa evidenssirekisterissä ei ole pilotti- tai asiakasvalidointia.</x:v>
      </x:c>
      <x:c r="D43" s="14" t="str">
        <x:v>site/data/evidence.csv</x:v>
      </x:c>
      <x:c r="E43" s="14" t="str">
        <x:v>2026-07-24</x:v>
      </x:c>
      <x:c r="F43" s="14" t="str">
        <x:v>Aineiston puute.</x:v>
      </x:c>
      <x:c r="G43" s="14" t="str">
        <x:v>Ei päätellä asiakkaiden olemassaoloa tai puuttumista yhtiötasolla.</x:v>
      </x:c>
      <x:c r="H43" s="14" t="str">
        <x:v>Puuttuu</x:v>
      </x:c>
      <x:c r="I43" s="14" t="str">
        <x:v>Lisää allekirjoitetut pilotit, toimitusnäyttö, asiakasreferenssit ja käyttödata.</x:v>
      </x:c>
    </x:row>
    <x:row r="44" ht="58.5" customHeight="1">
      <x:c r="A44" s="14" t="str">
        <x:v>Julkinen aineisto ei vahvista nykyistä maakohtaista omistusta, vuosimaksuja ja rasitteettomuutta koko perheessä.</x:v>
      </x:c>
      <x:c r="B44" s="14" t="str">
        <x:v>IP-status</x:v>
      </x:c>
      <x:c r="C44" s="14" t="str">
        <x:v>Perhejulkaisut eivät yksin osoita kansallista post-grant-tilaa.</x:v>
      </x:c>
      <x:c r="D44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44" s="14" t="str">
        <x:v>2026-07-24</x:v>
      </x:c>
      <x:c r="F44" s="14" t="str">
        <x:v>Diligence-rajaus.</x:v>
      </x:c>
      <x:c r="G44" s="14" t="str">
        <x:v>Neljä kansallista rekisterijurisdiktiota ei kata koko perhettä.</x:v>
      </x:c>
      <x:c r="H44" s="14" t="str">
        <x:v>Puuttuu</x:v>
      </x:c>
      <x:c r="I44" s="14" t="str">
        <x:v>Laadi asiamiehen allekirjoittama maamatriisi ja liitä tuoreet rekisteriotteet sekä maksukuitit.</x:v>
      </x:c>
    </x:row>
    <x:row r="45" ht="58.5" customHeight="1">
      <x:c r="A45" s="14" t="str">
        <x:v>Julkinen aineisto ei sisällä maakohtaisia tuote–vaatimusvertailuja.</x:v>
      </x:c>
      <x:c r="B45" s="14" t="str">
        <x:v>Tekninen erottautuminen</x:v>
      </x:c>
      <x:c r="C45" s="14" t="str">
        <x:v>Patenttihistorian guardrail edellyttää counsel-reviewed claim chartia.</x:v>
      </x:c>
      <x:c r="D45" s="14" t="str">
        <x:v>https://data.epo.org/publication-server/rest/v1.2/patents/EP3032975NWB2/document.pdf ; https://www.gesetze-bayern.de/Content/Document/Y-300-Z-BECKRS-B-2026-N-14206</x:v>
      </x:c>
      <x:c r="E45" s="14" t="str">
        <x:v>2026-07-24</x:v>
      </x:c>
      <x:c r="F45" s="14" t="str">
        <x:v>Vaatimuspiirteiden tuotekohtainen kartoitus puuttuu.</x:v>
      </x:c>
      <x:c r="G45" s="14" t="str">
        <x:v>Samankaltaisuus ei ole loukkaus.</x:v>
      </x:c>
      <x:c r="H45" s="14" t="str">
        <x:v>Puuttuu</x:v>
      </x:c>
      <x:c r="I45" s="14" t="str">
        <x:v>Hanki tuotteet, säilytä hallussapitoketju, tee teardown ja asiamiehen tarkastama claim chart.</x:v>
      </x:c>
    </x:row>
    <x:row r="46" ht="58.5" customHeight="1">
      <x:c r="A46" s="14" t="str">
        <x:v>Markkinan kokonaisarvo ei ole automaattisesti rojaltipohja.</x:v>
      </x:c>
      <x:c r="B46" s="14" t="str">
        <x:v>Taloudellinen malli</x:v>
      </x:c>
      <x:c r="C46" s="14" t="str">
        <x:v>Patenttihistorian kaupallistamisrajaus erottaa markkinan, kohdistettavan myynnin ja kassavirran.</x:v>
      </x:c>
      <x:c r="D46" s="14" t="str">
        <x:v>https://www.wipo.int/en/web/business/ip-valuation</x:v>
      </x:c>
      <x:c r="E46" s="14" t="str">
        <x:v>2026-07-24</x:v>
      </x:c>
      <x:c r="F46" s="14" t="str">
        <x:v>Arvonmäärityksen perusrajaus.</x:v>
      </x:c>
      <x:c r="G46" s="14" t="str">
        <x:v>Rojaltipohja vaatii patentin maantieteellisen, ajallisen ja tuotekohtaisen osuvuuden.</x:v>
      </x:c>
      <x:c r="H46" s="14" t="str">
        <x:v>Vahvistettu</x:v>
      </x:c>
      <x:c r="I46" s="14" t="str">
        <x:v>Tarvitaan addressable/in-scope/claim-mapped sales -silta.</x:v>
      </x:c>
    </x:row>
    <x:row r="47" ht="58.5" customHeight="1">
      <x:c r="A47" s="14" t="str">
        <x:v>Patenttiarvo, yritysarvo, osakearvo ja vakuusarvo ovat eri mittareita.</x:v>
      </x:c>
      <x:c r="B47" s="14" t="str">
        <x:v>Rahoitusteesi</x:v>
      </x:c>
      <x:c r="C47" s="14" t="str">
        <x:v>WIPO:n IP-arvonmääritys- ja rahoituskehys sekä aineiston oma guardrail.</x:v>
      </x:c>
      <x:c r="D47" s="14" t="str">
        <x:v>https://www.wipo.int/en/web/business/ip-valuation ; https://www.wipo.int/en/web/ip-financing</x:v>
      </x:c>
      <x:c r="E47" s="14" t="str">
        <x:v>2026-07-24</x:v>
      </x:c>
      <x:c r="F47" s="14" t="str">
        <x:v>Arvokäsitteiden erottelu.</x:v>
      </x:c>
      <x:c r="G47" s="14" t="str">
        <x:v>Ei oletuksia.</x:v>
      </x:c>
      <x:c r="H47" s="14" t="str">
        <x:v>Vahvistettu</x:v>
      </x:c>
      <x:c r="I47" s="14" t="str">
        <x:v>Rahoitusrakenne ja vakuusarvo vaativat erillisen oikeudellisen ja taloudellisen analyysin.</x:v>
      </x:c>
    </x:row>
    <x:row r="48" ht="58.5" customHeight="1">
      <x:c r="A48" s="14" t="str">
        <x:v>Asiantuntijavetoinen rajattu lisensointi- tai sovintopilotti on mahdollinen kaupallistamishypoteesi.</x:v>
      </x:c>
      <x:c r="B48" s="14" t="str">
        <x:v>Kaupallistamismalli</x:v>
      </x:c>
      <x:c r="C48" s="14" t="str">
        <x:v>Patenttihistorian vaiheistus suosittelee kovia portteja, claim chartia ja auditoitavaa yhteydenottoa.</x:v>
      </x:c>
      <x:c r="D48" s="14" t="str">
        <x:v>https://www.wipo.int/ja/web/business/assignment-licensing ; https://www.wipo.int/en/web/business/settle-ip-disputes ; https://www.epo.org/en/searching-for-patents/business/ipscore</x:v>
      </x:c>
      <x:c r="E48" s="14" t="str">
        <x:v>2026-07-24</x:v>
      </x:c>
      <x:c r="F48" s="14" t="str">
        <x:v>Hypoteesi, ei toteutunut kaupallinen näyttö.</x:v>
      </x:c>
      <x:c r="G48" s="14" t="str">
        <x:v>Kohdemaat ja vastapuolet valitaan vasta oikeus- ja evidenssiporttien jälkeen.</x:v>
      </x:c>
      <x:c r="H48" s="14" t="str">
        <x:v>Oletus</x:v>
      </x:c>
      <x:c r="I48" s="14" t="str">
        <x:v>Hyväksytä pilottimalli johdolla ja patenttiasiantuntijalla; dokumentoi kustannus, vasteet ja termit.</x:v>
      </x:c>
    </x:row>
    <x:row r="49" ht="58.5" customHeight="1">
      <x:c r="A49" s="14" t="str">
        <x:v>Patenttivakuudellinen rahoitus on arvioitava vain vahvistettujen oikeuksien ja kassavirtojen pohjalta.</x:v>
      </x:c>
      <x:c r="B49" s="14" t="str">
        <x:v>Rahoitusteesi</x:v>
      </x:c>
      <x:c r="C49" s="14" t="str">
        <x:v>WIPO IP Finance ja patenttihistorian vaihe 5.</x:v>
      </x:c>
      <x:c r="D49" s="14" t="str">
        <x:v>https://www.wipo.int/en/web/ip-financing ; https://www.wipo.int/en/web/business/ip-valuation</x:v>
      </x:c>
      <x:c r="E49" s="14" t="str">
        <x:v>2026-07-24</x:v>
      </x:c>
      <x:c r="F49" s="14" t="str">
        <x:v>Rahoitusperiaate.</x:v>
      </x:c>
      <x:c r="G49" s="14" t="str">
        <x:v>Ei näyttöä olemassa olevasta vakuusarvosta.</x:v>
      </x:c>
      <x:c r="H49" s="14" t="str">
        <x:v>Tuettu</x:v>
      </x:c>
      <x:c r="I49" s="14" t="str">
        <x:v>Tarvitaan riippumaton arvonmääritys, oikeuksien due diligence, toteutuneet tai sopimuspohjaiset kassavirrat ja downside-analyysi.</x:v>
      </x:c>
    </x:row>
    <x:row r="50" ht="58.5" customHeight="1">
      <x:c r="A50" s="14" t="str">
        <x:v>Australian oikeuden seuraava uusiminen on vahvistettava välittömästi.</x:v>
      </x:c>
      <x:c r="B50" s="14" t="str">
        <x:v>Riskit</x:v>
      </x:c>
      <x:c r="C50" s="14" t="str">
        <x:v>IP Australian API näyttää GRANTED-tilan, viimeisen uusimismaksun 18.7.2025 ja in-force date -päivän 14.8.2026.</x:v>
      </x:c>
      <x:c r="D50" s="14" t="str">
        <x:v>https://production.api.ipaustralia.gov.au/public/ipright-search-api/v1/patents/2014307829</x:v>
      </x:c>
      <x:c r="E50" s="14" t="str">
        <x:v>2026-08-14</x:v>
      </x:c>
      <x:c r="F50" s="14" t="str">
        <x:v>Virallisen API-tiedon diligence-hälytys.</x:v>
      </x:c>
      <x:c r="G50" s="14" t="str">
        <x:v>API:n in-force-through-päivä ei ole tässä lakisääteinen eräpäiväväite.</x:v>
      </x:c>
      <x:c r="H50" s="14" t="str">
        <x:v>Vahvistettu</x:v>
      </x:c>
      <x:c r="I50" s="14" t="str">
        <x:v>Patenttihallinto ja Australian asiamies: vahvistakaa lakisääteinen maksupäivä, summa, maksuvaltuus ja suoritettu maksu; arkistoikaa kuitti ja tuore rekisteriote.</x:v>
      </x:c>
    </x:row>
    <x:row r="51" ht="58.5" customHeight="1">
      <x:c r="A51" s="14" t="str">
        <x:v>Suomen 14. vuosimaksun eräpäiväksi on rekisteröity 31.8.2026.</x:v>
      </x:c>
      <x:c r="B51" s="14" t="str">
        <x:v>Riskit</x:v>
      </x:c>
      <x:c r="C51" s="14" t="str">
        <x:v>PRH kirjaa 14. vuoden 670 euron maksun eräpäiväksi 31.8.2026 ja myöhäisen maksukauden päättymispäiväksi 28.2.2027.</x:v>
      </x:c>
      <x:c r="D51" s="14" t="str">
        <x:v>https://patenttitietopalvelu.prh.fi/en/patent/20135829</x:v>
      </x:c>
      <x:c r="E51" s="14" t="str">
        <x:v>2026-08-31</x:v>
      </x:c>
      <x:c r="F51" s="14" t="str">
        <x:v>PRH:n rekisterihavainto.</x:v>
      </x:c>
      <x:c r="G51" s="14" t="str">
        <x:v>Tavoite on maksaa normaalina eräpäivänä.</x:v>
      </x:c>
      <x:c r="H51" s="14" t="str">
        <x:v>Vahvistettu</x:v>
      </x:c>
      <x:c r="I51" s="14" t="str">
        <x:v>Patenttihallinto: maksakaa ennen normaalia eräpäivää ja säilyttäkää maksukuitti sekä päivitetty PRH-ote.</x:v>
      </x:c>
    </x:row>
    <x:row r="52" ht="58.5" customHeight="1">
      <x:c r="A52" s="14" t="str">
        <x:v>Yhdysvaltain 7,5 vuoden ylläpitomaksun tila on vahvistettava.</x:v>
      </x:c>
      <x:c r="B52" s="14" t="str">
        <x:v>Riskit</x:v>
      </x:c>
      <x:c r="C52" s="14" t="str">
        <x:v>USPTO:n ylläpitomaksureitti näyttää normaalimaksuikkunan päättyvän 4.12.2026; maksutilaa ei vahvistettu riippumattomasti tässä julkaisussa.</x:v>
      </x:c>
      <x:c r="D52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52" s="14" t="str">
        <x:v>2026-12-04</x:v>
      </x:c>
      <x:c r="F52" s="14" t="str">
        <x:v>Virallisen maksuikkunan tarkistus.</x:v>
      </x:c>
      <x:c r="G52" s="14" t="str">
        <x:v>Julkaisu ei väitä, että maksu on tai ei ole suoritettu.</x:v>
      </x:c>
      <x:c r="H52" s="14" t="str">
        <x:v>Vahvistettu</x:v>
      </x:c>
      <x:c r="I52" s="14" t="str">
        <x:v>Yhdysvaltain patenttiasiamies: vahvistakaa entity status, summa ja maksu sekä arkistoikaa virallinen kuitti ja tuoreet ylläpito- ja siirtotiedot.</x:v>
      </x:c>
    </x:row>
    <x:row r="53" ht="58.5" customHeight="1">
      <x:c r="A53" s="14" t="str">
        <x:v>Julkinen aineisto ei sisällä auditoituja historiallisia tilinpäätöksiä tai kassavirtaennustetta.</x:v>
      </x:c>
      <x:c r="B53" s="14" t="str">
        <x:v>Taloudellinen malli</x:v>
      </x:c>
      <x:c r="C53" s="14" t="str">
        <x:v>Markkina- ja patenttiaineisto ei ole yhtiön talousaineisto.</x:v>
      </x:c>
      <x:c r="D53" s="14" t="str">
        <x:v>Julkisen paketin rajaus</x:v>
      </x:c>
      <x:c r="E53" s="14" t="str">
        <x:v>2026-07-24</x:v>
      </x:c>
      <x:c r="F53" s="14" t="str">
        <x:v>Aineiston puute.</x:v>
      </x:c>
      <x:c r="G53" s="14" t="str">
        <x:v>Yhtiön taloudellisesta tilanteesta ei tehdä päätelmää.</x:v>
      </x:c>
      <x:c r="H53" s="14" t="str">
        <x:v>Puuttuu</x:v>
      </x:c>
      <x:c r="I53" s="14" t="str">
        <x:v>Lisää 3–5 vuoden tilinpäätökset, tuore pääkirja, budjetti, kassavirta, velat ja verovelkatodistus.</x:v>
      </x:c>
    </x:row>
    <x:row r="54" ht="58.5" customHeight="1">
      <x:c r="A54" s="14" t="str">
        <x:v>Julkinen aineisto ei yksilöi rahoitustarvetta, käyttötarkoitusta tai takaisinmaksulähdettä.</x:v>
      </x:c>
      <x:c r="B54" s="14" t="str">
        <x:v>Rahoitusteesi</x:v>
      </x:c>
      <x:c r="C54" s="14" t="str">
        <x:v>Rahoitusparametreja ei ole markkina- tai patenttidatassa.</x:v>
      </x:c>
      <x:c r="D54" s="14" t="str">
        <x:v>Julkisen paketin rajaus</x:v>
      </x:c>
      <x:c r="E54" s="14" t="str">
        <x:v>2026-07-24</x:v>
      </x:c>
      <x:c r="F54" s="14" t="str">
        <x:v>Aineiston puute.</x:v>
      </x:c>
      <x:c r="G54" s="14" t="str">
        <x:v>Ei oleteta lainamäärää, maturiteettia tai vakuusrakennetta.</x:v>
      </x:c>
      <x:c r="H54" s="14" t="str">
        <x:v>Puuttuu</x:v>
      </x:c>
      <x:c r="I54" s="14" t="str">
        <x:v>Määritä lainamäärä, käyttötarkoitus, maturiteetti, lyhennysprofiili, takaisinmaksu ja kovenantit.</x:v>
      </x:c>
    </x:row>
    <x:row r="55" ht="58.5" customHeight="1">
      <x:c r="A55" s="14" t="str">
        <x:v>Julkinen aineisto ei osoita osakekantaa, cap tablea tai osakkeiden rasitteita.</x:v>
      </x:c>
      <x:c r="B55" s="14" t="str">
        <x:v>Rahoitusteesi</x:v>
      </x:c>
      <x:c r="C55" s="14" t="str">
        <x:v>Julkinen paketti on rajattu markkina- ja patenttievidenssiin.</x:v>
      </x:c>
      <x:c r="D55" s="14" t="str">
        <x:v>Julkisen paketin rajaus</x:v>
      </x:c>
      <x:c r="E55" s="14" t="str">
        <x:v>2026-07-24</x:v>
      </x:c>
      <x:c r="F55" s="14" t="str">
        <x:v>Aineiston puute.</x:v>
      </x:c>
      <x:c r="G55" s="14" t="str">
        <x:v>Ei oleteta omistusosuuksia tai vakuuskelpoisuutta.</x:v>
      </x:c>
      <x:c r="H55" s="14" t="str">
        <x:v>Puuttuu</x:v>
      </x:c>
      <x:c r="I55" s="14" t="str">
        <x:v>Toimita varmennettu osakasluettelo, yhtiöjärjestys, päätökset, panttaus- ja rasiteselvitys suljettuun datahuoneeseen.</x:v>
      </x:c>
    </x:row>
    <x:row r="56" ht="58.5" customHeight="1">
      <x:c r="A56" s="14" t="str">
        <x:v>Julkinen aineisto ei sisällä vertailukelpoista kilpailija- ja vaihtoehtoanalyysiä.</x:v>
      </x:c>
      <x:c r="B56" s="14" t="str">
        <x:v>Kilpailu</x:v>
      </x:c>
      <x:c r="C56" s="14" t="str">
        <x:v>Patenttiselitys ja oikeustapaukset eivät yksin muodosta markkinakilpailukarttaa.</x:v>
      </x:c>
      <x:c r="D56" s="14" t="str">
        <x:v>site/data/patent-history.json</x:v>
      </x:c>
      <x:c r="E56" s="14" t="str">
        <x:v>2026-07-24</x:v>
      </x:c>
      <x:c r="F56" s="14" t="str">
        <x:v>Aineiston puute.</x:v>
      </x:c>
      <x:c r="G56" s="14" t="str">
        <x:v>Kilpailu on erotettava patenttien päällekkäisyydestä ja ei-patentoiduista vaihtoehdoista.</x:v>
      </x:c>
      <x:c r="H56" s="14" t="str">
        <x:v>Puuttuu</x:v>
      </x:c>
      <x:c r="I56" s="14" t="str">
        <x:v>Laadi tuotteet, valmistajat, vaihtoehtoiset teknologiat, patenttiperheet, hinnat ja claim-map-status kattava vertailu.</x:v>
      </x:c>
    </x:row>
    <x:row r="57" ht="58.5" customHeight="1">
      <x:c r="A57" s="14" t="str">
        <x:v>Asiakassegmentit voidaan alustavasti jäsentää valmistajiin, teknologiatoimittajiin ja IP-rahoittajiin.</x:v>
      </x:c>
      <x:c r="B57" s="14" t="str">
        <x:v>Asiakkaat</x:v>
      </x:c>
      <x:c r="C57" s="14" t="str">
        <x:v>Patenttihistorian kaupallistamisreitit sisältävät lisensoinnin, luovutuksen ja IP-rahoituksen.</x:v>
      </x:c>
      <x:c r="D57" s="14" t="str">
        <x:v>https://www.wipo.int/ja/web/business/assignment-licensing ; https://www.wipo.int/en/web/ip-financing</x:v>
      </x:c>
      <x:c r="E57" s="14" t="str">
        <x:v>2026-07-24</x:v>
      </x:c>
      <x:c r="F57" s="14" t="str">
        <x:v>Segmentointihypoteesi kaupallistamisreiteistä.</x:v>
      </x:c>
      <x:c r="G57" s="14" t="str">
        <x:v>Ei todennettua ostoaikomusta tai asiakaskantaa.</x:v>
      </x:c>
      <x:c r="H57" s="14" t="str">
        <x:v>Oletus</x:v>
      </x:c>
      <x:c r="I57" s="14" t="str">
        <x:v>Validoi 10–15 strukturoitua ostaja- ja rahoittajahaastattelua sekä dokumentoi päätöskriteerit.</x:v>
      </x:c>
    </x:row>
    <x:row r="58" ht="58.5" customHeight="1">
      <x:c r="A58" s="14" t="str">
        <x:v>Saksan ratkaisut voivat toimia evidenssiankkurina, mutta eivät maailmanlaajuisena loukkausratkaisuna.</x:v>
      </x:c>
      <x:c r="B58" s="14" t="str">
        <x:v>Rahoitusteesi</x:v>
      </x:c>
      <x:c r="C58" s="14" t="str">
        <x:v>Ratkaisut ovat kansallisia, tuote-, osapuoli- ja ajanjaksokohtaisia.</x:v>
      </x:c>
      <x:c r="D58" s="14" t="str">
        <x:v>https://www.rechtsprechung-im-internet.de/jportal/?quelle=jlink&amp;docid=JURE269032275&amp;psml=bsjrsprod.psml ; https://www.gesetze-bayern.de/Content/Document/Y-300-Z-BECKRS-B-2026-N-14206</x:v>
      </x:c>
      <x:c r="E58" s="14" t="str">
        <x:v>2026-07-24</x:v>
      </x:c>
      <x:c r="F58" s="14" t="str">
        <x:v>Oikeudellisen vaikutuksen alueellinen rajaus.</x:v>
      </x:c>
      <x:c r="G58" s="14" t="str">
        <x:v>Muiden maiden tulokset riippuvat paikallisista oikeuksista ja tuotteista.</x:v>
      </x:c>
      <x:c r="H58" s="14" t="str">
        <x:v>Vahvistettu</x:v>
      </x:c>
      <x:c r="I58" s="14" t="str">
        <x:v>Laadi maakohtaiset oikeus- ja claim chart -paketit ennen yhteydenottoja.</x:v>
      </x:c>
    </x:row>
    <x:row r="59" ht="58.5" customHeight="1">
      <x:c r="A59" s="14" t="str">
        <x:v>Aineiston A-luokan maita on viisi, mutta 158 maata on D-luokassa.</x:v>
      </x:c>
      <x:c r="B59" s="14" t="str">
        <x:v>Markkinan koko</x:v>
      </x:c>
      <x:c r="C59" s="14" t="str">
        <x:v>Luokat: A 5, B 13, C 19, D 158.</x:v>
      </x:c>
      <x:c r="D59" s="14" t="str">
        <x:v>site/data/atlas.json (summary.gradeCounts)</x:v>
      </x:c>
      <x:c r="E59" s="14" t="str">
        <x:v>2026-07-24</x:v>
      </x:c>
      <x:c r="F59" s="14" t="str">
        <x:v>Maakohtaisten evidenssiluokkien laskenta.</x:v>
      </x:c>
      <x:c r="G59" s="14" t="str">
        <x:v>Luokka mittaa evidenssikypsyyttä, ei markkinan houkuttelevuutta.</x:v>
      </x:c>
      <x:c r="H59" s="14" t="str">
        <x:v>Vahvistettu</x:v>
      </x:c>
      <x:c r="I59" s="14" t="str">
        <x:v>Priorisoi D-maiden tietopyynnöt talouskoon, patenttistatuksen ja sääntelyn mukaan.</x:v>
      </x:c>
    </x:row>
    <x:row r="60" ht="58.5" customHeight="1">
      <x:c r="A60" s="14" t="str">
        <x:v>Maailmanlaajuista atlasestimaattia ei ole hyväksytty julkaistavaksi.</x:v>
      </x:c>
      <x:c r="B60" s="14" t="str">
        <x:v>Markkinakoko</x:v>
      </x:c>
      <x:c r="C60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60" s="14" t="str">
        <x:v>site/data/market-values.json (modelReadiness, donorProtocol ja donorCandidates)</x:v>
      </x:c>
      <x:c r="E60" s="14" t="str">
        <x:v>2026-07-27</x:v>
      </x:c>
      <x:c r="F60" s="14" t="str">
        <x:v>Kova portti: jokaisen donorin on läpäistävä D1–D10, ja lisäksi tarvitaan vähintään kolme yhteensopivaa donoria sekä molemmat peittoportit.</x:v>
      </x:c>
      <x:c r="G60" s="14" t="str">
        <x:v>Viralliset alarajat ja ulkoiset vertailuarvot säilyvät ristiintarkistuksina, mutta niitä ei lasketa hyväksytyiksi donoreiksi.</x:v>
      </x:c>
      <x:c r="H60" s="14" t="str">
        <x:v>Vahvistettu</x:v>
      </x:c>
      <x:c r="I60" s="14" t="str">
        <x:v>Älä julkaise yhtä maailmanarvoa ennen menetelmäporttien läpäisyä.</x:v>
      </x:c>
    </x:row>
    <x:row r="61" ht="58.5" customHeight="1">
      <x:c r="A61" s="15" t="str">
        <x:v>Korkean luottamuksen rahoituspaketti vaatii suljetun datahuoneen julkisen paketin rinnalle.</x:v>
      </x:c>
      <x:c r="B61" s="15" t="str">
        <x:v>Seuraavat vaiheet</x:v>
      </x:c>
      <x:c r="C61" s="15" t="str">
        <x:v>Julkinen paketti osoittaa lähteet ja puutteet mutta ei sisällä luottamuksellista talous-, sopimus- tai omistusaineistoa.</x:v>
      </x:c>
      <x:c r="D61" s="15" t="str">
        <x:v>Julkisen paketin rajaus</x:v>
      </x:c>
      <x:c r="E61" s="15" t="str">
        <x:v>2026-07-24</x:v>
      </x:c>
      <x:c r="F61" s="15" t="str">
        <x:v>Diligence-arkkitehtuurin suositus.</x:v>
      </x:c>
      <x:c r="G61" s="15" t="str">
        <x:v>Pääsy rajataan ja lokitetaan.</x:v>
      </x:c>
      <x:c r="H61" s="15" t="str">
        <x:v>Tuettu</x:v>
      </x:c>
      <x:c r="I61" s="15" t="str">
        <x:v>Perusta indeksoitu datahuone: Corporate, IP, Legal, Commercial, Finance, Valuation, Security.</x:v>
      </x:c>
    </x:row>
  </x:sheetData>
  <x:conditionalFormatting sqref="H2:H61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61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d77eb7ae4f451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2026.08.03-43</x:v>
      </x:c>
    </x:row>
    <x:row r="6" ht="20.25" customHeight="1">
      <x:c r="A6" s="29" t="str">
        <x:v>Päivitetty</x:v>
      </x:c>
      <x:c r="B6" s="14" t="str">
        <x:v>2026-08-03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Register'!$A$2:$A$61)</x:f>
        <x:v>60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Register'!$H$2:$H$61,A11)</x:f>
        <x:v>35</x:v>
      </x:c>
    </x:row>
    <x:row r="12" ht="20.25" customHeight="1">
      <x:c r="A12" s="37" t="str">
        <x:v>Tuettu</x:v>
      </x:c>
      <x:c r="B12" s="14" t="n">
        <x:f>COUNTIF('Evidence Register'!$H$2:$H$61,A12)</x:f>
        <x:v>12</x:v>
      </x:c>
    </x:row>
    <x:row r="13" ht="20.25" customHeight="1">
      <x:c r="A13" s="38" t="str">
        <x:v>Oletus</x:v>
      </x:c>
      <x:c r="B13" s="14" t="n">
        <x:f>COUNTIF('Evidence Register'!$H$2:$H$61,A13)</x:f>
        <x:v>3</x:v>
      </x:c>
    </x:row>
    <x:row r="14" ht="20.25" customHeight="1">
      <x:c r="A14" s="39" t="str">
        <x:v>Puuttuu</x:v>
      </x:c>
      <x:c r="B14" s="15" t="n">
        <x:f>COUNTIF('Evidence Register'!$H$2:$H$61,A14)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9d812dee9921454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REGISTER-REFERENCE-067A847A44A9</x:v>
      </x:c>
      <x:c r="B53" s="14" t="str">
        <x:v>api.sejm.gov.pl</x:v>
      </x:c>
      <x:c r="C53" s="14" t="str">
        <x:v>register_reference</x:v>
      </x:c>
      <x:c r="D53" s="14" t="str">
        <x:v>https://api.sejm.gov.pl/eli/acts/DU/2025/698/text.pdf</x:v>
      </x:c>
      <x:c r="E53" s="14" t="str">
        <x:v>2026-08-03</x:v>
      </x:c>
    </x:row>
    <x:row r="54" ht="31.5" customHeight="1">
      <x:c r="A54" s="14" t="str">
        <x:v>REGISTER-REFERENCE-BC2CDD0708D5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https://data-api.ecb.europa.eu/service/data/EXR/A.CAD.EUR.SP00.A?startPeriod=2019&amp;endPeriod=2019&amp;format=csvdata</x:v>
      </x:c>
      <x:c r="E54" s="14" t="str">
        <x:v>2026-08-03</x:v>
      </x:c>
    </x:row>
    <x:row r="55" ht="31.5" customHeight="1">
      <x:c r="A55" s="14" t="str">
        <x:v>REGISTER-REFERENCE-7264539499F0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https://data-api.ecb.europa.eu/service/data/EXR/A.CAD.EUR.SP00.A?startPeriod=2020&amp;endPeriod=2020&amp;format=csvdata</x:v>
      </x:c>
      <x:c r="E55" s="14" t="str">
        <x:v>2026-08-03</x:v>
      </x:c>
    </x:row>
    <x:row r="56" ht="31.5" customHeight="1">
      <x:c r="A56" s="14" t="str">
        <x:v>REGISTER-REFERENCE-2580DD0733C9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https://data-api.ecb.europa.eu/service/data/EXR/A.CAD.EUR.SP00.A?startPeriod=2021&amp;endPeriod=2021&amp;format=csvdata</x:v>
      </x:c>
      <x:c r="E56" s="14" t="str">
        <x:v>2026-08-03</x:v>
      </x:c>
    </x:row>
    <x:row r="57" ht="31.5" customHeight="1">
      <x:c r="A57" s="14" t="str">
        <x:v>REGISTER-REFERENCE-38DD93023815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https://data-api.ecb.europa.eu/service/data/EXR/A.CAD.EUR.SP00.A?startPeriod=2022&amp;endPeriod=2022&amp;format=csvdata</x:v>
      </x:c>
      <x:c r="E57" s="14" t="str">
        <x:v>2026-08-03</x:v>
      </x:c>
    </x:row>
    <x:row r="58" ht="31.5" customHeight="1">
      <x:c r="A58" s="14" t="str">
        <x:v>REGISTER-REFERENCE-72D82058EA8A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https://data-api.ecb.europa.eu/service/data/EXR/A.CAD.EUR.SP00.A?startPeriod=2023&amp;endPeriod=2023&amp;format=csvdata</x:v>
      </x:c>
      <x:c r="E58" s="14" t="str">
        <x:v>2026-08-03</x:v>
      </x:c>
    </x:row>
    <x:row r="59" ht="31.5" customHeight="1">
      <x:c r="A59" s="14" t="str">
        <x:v>REGISTER-REFERENCE-E8408060156E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https://data-api.ecb.europa.eu/service/data/EXR/A.CAD.EUR.SP00.A?startPeriod=2024&amp;endPeriod=2024&amp;format=csvdata</x:v>
      </x:c>
      <x:c r="E59" s="14" t="str">
        <x:v>2026-08-03</x:v>
      </x:c>
    </x:row>
    <x:row r="60" ht="31.5" customHeight="1">
      <x:c r="A60" s="14" t="str">
        <x:v>REGISTER-REFERENCE-ACB549D404B8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https://data-api.ecb.europa.eu/service/data/EXR/A.CAD.EUR.SP00.A?startPeriod=2025&amp;endPeriod=2025&amp;format=csvdata</x:v>
      </x:c>
      <x:c r="E60" s="14" t="str">
        <x:v>2026-08-03</x:v>
      </x:c>
    </x:row>
    <x:row r="61" ht="31.5" customHeight="1">
      <x:c r="A61" s="14" t="str">
        <x:v>REGISTER-REFERENCE-D5953C312D13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https://data-api.ecb.europa.eu/service/data/EXR/A.JPY.EUR.SP00.A?startPeriod=2022&amp;endPeriod=2022&amp;format=csvdata</x:v>
      </x:c>
      <x:c r="E61" s="14" t="str">
        <x:v>2026-08-03</x:v>
      </x:c>
    </x:row>
    <x:row r="62" ht="31.5" customHeight="1">
      <x:c r="A62" s="14" t="str">
        <x:v>REGISTER-REFERENCE-9C49B54585D6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https://data-api.ecb.europa.eu/service/data/EXR/A.JPY.EUR.SP00.A?startPeriod=2023&amp;endPeriod=2023&amp;format=csvdata</x:v>
      </x:c>
      <x:c r="E62" s="14" t="str">
        <x:v>2026-08-03</x:v>
      </x:c>
    </x:row>
    <x:row r="63" ht="31.5" customHeight="1">
      <x:c r="A63" s="14" t="str">
        <x:v>REGISTER-REFERENCE-E8955C1A58F7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https://data-api.ecb.europa.eu/service/data/EXR/A.JPY.EUR.SP00.A?startPeriod=2024&amp;endPeriod=2024&amp;format=csvdata</x:v>
      </x:c>
      <x:c r="E63" s="14" t="str">
        <x:v>2026-08-03</x:v>
      </x:c>
    </x:row>
    <x:row r="64" ht="31.5" customHeight="1">
      <x:c r="A64" s="14" t="str">
        <x:v>REGISTER-REFERENCE-AB39FAE18104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https://data-api.ecb.europa.eu/service/data/EXR/A.JPY.EUR.SP00.A?startPeriod=2025&amp;endPeriod=2025&amp;format=csvdata</x:v>
      </x:c>
      <x:c r="E64" s="14" t="str">
        <x:v>2026-08-03</x:v>
      </x:c>
    </x:row>
    <x:row r="65" ht="31.5" customHeight="1">
      <x:c r="A65" s="14" t="str">
        <x:v>REGISTER-REFERENCE-2FB6E2117AD7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https://data-api.ecb.europa.eu/service/data/EXR/A.NZD.EUR.SP00.A?startPeriod=2022&amp;endPeriod=2022&amp;format=csvdata</x:v>
      </x:c>
      <x:c r="E65" s="14" t="str">
        <x:v>2026-08-03</x:v>
      </x:c>
    </x:row>
    <x:row r="66" ht="31.5" customHeight="1">
      <x:c r="A66" s="14" t="str">
        <x:v>REGISTER-REFERENCE-8FEBAD85B03E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https://data-api.ecb.europa.eu/service/data/EXR/A.NZD.EUR.SP00.A?startPeriod=2023&amp;endPeriod=2023&amp;format=csvdata</x:v>
      </x:c>
      <x:c r="E66" s="14" t="str">
        <x:v>2026-08-03</x:v>
      </x:c>
    </x:row>
    <x:row r="67" ht="31.5" customHeight="1">
      <x:c r="A67" s="14" t="str">
        <x:v>REGISTER-REFERENCE-37CBB91A050A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https://data-api.ecb.europa.eu/service/data/EXR/A.NZD.EUR.SP00.A?startPeriod=2024&amp;endPeriod=2024&amp;format=csvdata</x:v>
      </x:c>
      <x:c r="E67" s="14" t="str">
        <x:v>2026-08-03</x:v>
      </x:c>
    </x:row>
    <x:row r="68" ht="31.5" customHeight="1">
      <x:c r="A68" s="14" t="str">
        <x:v>REGISTER-REFERENCE-BCE59F2D3F9D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https://data-api.ecb.europa.eu/service/data/EXR/A.PLN.EUR.SP00.A?startPeriod=2015&amp;endPeriod=2015&amp;format=csvdata</x:v>
      </x:c>
      <x:c r="E68" s="14" t="str">
        <x:v>2026-08-03</x:v>
      </x:c>
    </x:row>
    <x:row r="69" ht="31.5" customHeight="1">
      <x:c r="A69" s="14" t="str">
        <x:v>REGISTER-REFERENCE-2267B190A073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https://data-api.ecb.europa.eu/service/data/EXR/A.PLN.EUR.SP00.A?startPeriod=2021&amp;endPeriod=2021&amp;format=csvdata</x:v>
      </x:c>
      <x:c r="E69" s="14" t="str">
        <x:v>2026-08-03</x:v>
      </x:c>
    </x:row>
    <x:row r="70" ht="31.5" customHeight="1">
      <x:c r="A70" s="14" t="str">
        <x:v>REGISTER-REFERENCE-957871D9CB33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https://data-api.ecb.europa.eu/service/data/EXR/A.PLN.EUR.SP00.A?startPeriod=2022&amp;endPeriod=2022&amp;format=csvdata</x:v>
      </x:c>
      <x:c r="E70" s="14" t="str">
        <x:v>2026-08-03</x:v>
      </x:c>
    </x:row>
    <x:row r="71" ht="31.5" customHeight="1">
      <x:c r="A71" s="14" t="str">
        <x:v>REGISTER-REFERENCE-5C7194247112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https://data-api.ecb.europa.eu/service/data/EXR/A.PLN.EUR.SP00.A?startPeriod=2023&amp;endPeriod=2023&amp;format=csvdata</x:v>
      </x:c>
      <x:c r="E71" s="14" t="str">
        <x:v>2026-08-03</x:v>
      </x:c>
    </x:row>
    <x:row r="72" ht="31.5" customHeight="1">
      <x:c r="A72" s="14" t="str">
        <x:v>REGISTER-REFERENCE-75BF634166B2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https://data-api.ecb.europa.eu/service/data/EXR/A.PLN.EUR.SP00.A?startPeriod=2024&amp;endPeriod=2024&amp;format=csvdata</x:v>
      </x:c>
      <x:c r="E72" s="14" t="str">
        <x:v>2026-08-03</x:v>
      </x:c>
    </x:row>
    <x:row r="73" ht="31.5" customHeight="1">
      <x:c r="A73" s="14" t="str">
        <x:v>REGISTER-REFERENCE-54AB30A87D3D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https://data-api.ecb.europa.eu/service/data/EXR/A.PLN.EUR.SP00.A?startPeriod=2025&amp;endPeriod=2025&amp;format=csvdata</x:v>
      </x:c>
      <x:c r="E73" s="14" t="str">
        <x:v>2026-08-03</x:v>
      </x:c>
    </x:row>
    <x:row r="74" ht="31.5" customHeight="1">
      <x:c r="A74" s="14" t="str">
        <x:v>REGISTER-REFERENCE-4B9D48C385C9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https://data-api.ecb.europa.eu/service/data/EXR/A.SEK.EUR.SP00.A?startPeriod=2024&amp;endPeriod=2024&amp;format=csvdata</x:v>
      </x:c>
      <x:c r="E74" s="14" t="str">
        <x:v>2026-08-03</x:v>
      </x:c>
    </x:row>
    <x:row r="75" ht="31.5" customHeight="1">
      <x:c r="A75" s="14" t="str">
        <x:v>REGISTER-REFERENCE-97704C5CE7D4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https://data-api.ecb.europa.eu/service/data/EXR/A.USD.EUR.SP00.A?startPeriod=2015&amp;endPeriod=2015&amp;format=csvdata</x:v>
      </x:c>
      <x:c r="E75" s="14" t="str">
        <x:v>2026-08-03</x:v>
      </x:c>
    </x:row>
    <x:row r="76" ht="31.5" customHeight="1">
      <x:c r="A76" s="14" t="str">
        <x:v>REGISTER-REFERENCE-EF5511CEAE3C</x:v>
      </x:c>
      <x:c r="B76" s="14" t="str">
        <x:v>data-api.ecb.europa.eu</x:v>
      </x:c>
      <x:c r="C76" s="14" t="str">
        <x:v>register_reference</x:v>
      </x:c>
      <x:c r="D76" s="14" t="str">
        <x:v>https://data-api.ecb.europa.eu/service/data/EXR/A.USD.EUR.SP00.A?startPeriod=2016&amp;endPeriod=2016&amp;format=csvdata</x:v>
      </x:c>
      <x:c r="E76" s="14" t="str">
        <x:v>2026-08-03</x:v>
      </x:c>
    </x:row>
    <x:row r="77" ht="31.5" customHeight="1">
      <x:c r="A77" s="14" t="str">
        <x:v>REGISTER-REFERENCE-15452EF50F15</x:v>
      </x:c>
      <x:c r="B77" s="14" t="str">
        <x:v>data-api.ecb.europa.eu</x:v>
      </x:c>
      <x:c r="C77" s="14" t="str">
        <x:v>register_reference</x:v>
      </x:c>
      <x:c r="D77" s="14" t="str">
        <x:v>https://data-api.ecb.europa.eu/service/data/EXR/A.USD.EUR.SP00.A?startPeriod=2017&amp;endPeriod=2017&amp;format=csvdata</x:v>
      </x:c>
      <x:c r="E77" s="14" t="str">
        <x:v>2026-08-03</x:v>
      </x:c>
    </x:row>
    <x:row r="78" ht="31.5" customHeight="1">
      <x:c r="A78" s="14" t="str">
        <x:v>REGISTER-REFERENCE-9C7C0F0FD33F</x:v>
      </x:c>
      <x:c r="B78" s="14" t="str">
        <x:v>data-api.ecb.europa.eu</x:v>
      </x:c>
      <x:c r="C78" s="14" t="str">
        <x:v>register_reference</x:v>
      </x:c>
      <x:c r="D78" s="14" t="str">
        <x:v>https://data-api.ecb.europa.eu/service/data/EXR/A.USD.EUR.SP00.A?startPeriod=2018&amp;endPeriod=2018&amp;format=csvdata</x:v>
      </x:c>
      <x:c r="E78" s="14" t="str">
        <x:v>2026-08-03</x:v>
      </x:c>
    </x:row>
    <x:row r="79" ht="31.5" customHeight="1">
      <x:c r="A79" s="14" t="str">
        <x:v>REGISTER-REFERENCE-82A9C0A0E9C4</x:v>
      </x:c>
      <x:c r="B79" s="14" t="str">
        <x:v>data-api.ecb.europa.eu</x:v>
      </x:c>
      <x:c r="C79" s="14" t="str">
        <x:v>register_reference</x:v>
      </x:c>
      <x:c r="D79" s="14" t="str">
        <x:v>https://data-api.ecb.europa.eu/service/data/EXR/A.USD.EUR.SP00.A?startPeriod=2019&amp;endPeriod=2019&amp;format=csvdata</x:v>
      </x:c>
      <x:c r="E79" s="14" t="str">
        <x:v>2026-08-03</x:v>
      </x:c>
    </x:row>
    <x:row r="80" ht="31.5" customHeight="1">
      <x:c r="A80" s="14" t="str">
        <x:v>REGISTER-REFERENCE-25E2E410922F</x:v>
      </x:c>
      <x:c r="B80" s="14" t="str">
        <x:v>data-api.ecb.europa.eu</x:v>
      </x:c>
      <x:c r="C80" s="14" t="str">
        <x:v>register_reference</x:v>
      </x:c>
      <x:c r="D80" s="14" t="str">
        <x:v>https://data-api.ecb.europa.eu/service/data/EXR/A.USD.EUR.SP00.A?startPeriod=2020&amp;endPeriod=2020&amp;format=csvdata</x:v>
      </x:c>
      <x:c r="E80" s="14" t="str">
        <x:v>2026-08-03</x:v>
      </x:c>
    </x:row>
    <x:row r="81" ht="31.5" customHeight="1">
      <x:c r="A81" s="14" t="str">
        <x:v>REGISTER-REFERENCE-74211110370B</x:v>
      </x:c>
      <x:c r="B81" s="14" t="str">
        <x:v>data-api.ecb.europa.eu</x:v>
      </x:c>
      <x:c r="C81" s="14" t="str">
        <x:v>register_reference</x:v>
      </x:c>
      <x:c r="D81" s="14" t="str">
        <x:v>https://data-api.ecb.europa.eu/service/data/EXR/A.USD.EUR.SP00.A?startPeriod=2021&amp;endPeriod=2021&amp;format=csvdata</x:v>
      </x:c>
      <x:c r="E81" s="14" t="str">
        <x:v>2026-08-03</x:v>
      </x:c>
    </x:row>
    <x:row r="82" ht="31.5" customHeight="1">
      <x:c r="A82" s="14" t="str">
        <x:v>REGISTER-REFERENCE-59446D8EB279</x:v>
      </x:c>
      <x:c r="B82" s="14" t="str">
        <x:v>data-api.ecb.europa.eu</x:v>
      </x:c>
      <x:c r="C82" s="14" t="str">
        <x:v>register_reference</x:v>
      </x:c>
      <x:c r="D82" s="14" t="str">
        <x:v>https://data-api.ecb.europa.eu/service/data/EXR/A.USD.EUR.SP00.A?startPeriod=2022&amp;endPeriod=2022&amp;format=csvdata</x:v>
      </x:c>
      <x:c r="E82" s="14" t="str">
        <x:v>2026-08-03</x:v>
      </x:c>
    </x:row>
    <x:row r="83" ht="31.5" customHeight="1">
      <x:c r="A83" s="14" t="str">
        <x:v>REGISTER-REFERENCE-BFB2E2E1B4A3</x:v>
      </x:c>
      <x:c r="B83" s="14" t="str">
        <x:v>data-api.ecb.europa.eu</x:v>
      </x:c>
      <x:c r="C83" s="14" t="str">
        <x:v>register_reference</x:v>
      </x:c>
      <x:c r="D83" s="14" t="str">
        <x:v>https://data-api.ecb.europa.eu/service/data/EXR/A.USD.EUR.SP00.A?startPeriod=2023&amp;endPeriod=2023&amp;format=csvdata</x:v>
      </x:c>
      <x:c r="E83" s="14" t="str">
        <x:v>2026-08-03</x:v>
      </x:c>
    </x:row>
    <x:row r="84" ht="31.5" customHeight="1">
      <x:c r="A84" s="14" t="str">
        <x:v>REGISTER-REFERENCE-D26C27B033B0</x:v>
      </x:c>
      <x:c r="B84" s="14" t="str">
        <x:v>data-api.ecb.europa.eu</x:v>
      </x:c>
      <x:c r="C84" s="14" t="str">
        <x:v>register_reference</x:v>
      </x:c>
      <x:c r="D84" s="14" t="str">
        <x:v>https://data-api.ecb.europa.eu/service/data/EXR/A.USD.EUR.SP00.A?startPeriod=2024&amp;endPeriod=2024&amp;format=csvdata</x:v>
      </x:c>
      <x:c r="E84" s="14" t="str">
        <x:v>2026-08-03</x:v>
      </x:c>
    </x:row>
    <x:row r="85" ht="31.5" customHeight="1">
      <x:c r="A85" s="14" t="str">
        <x:v>REGISTER-REFERENCE-32690599750D</x:v>
      </x:c>
      <x:c r="B85" s="14" t="str">
        <x:v>data-api.ecb.europa.eu</x:v>
      </x:c>
      <x:c r="C85" s="14" t="str">
        <x:v>register_reference</x:v>
      </x:c>
      <x:c r="D85" s="14" t="str">
        <x:v>https://data-api.ecb.europa.eu/service/data/EXR/A.USD.EUR.SP00.A?startPeriod=2025&amp;endPeriod=2025&amp;format=csvdata</x:v>
      </x:c>
      <x:c r="E85" s="14" t="str">
        <x:v>2026-08-03</x:v>
      </x:c>
    </x:row>
    <x:row r="86" ht="31.5" customHeight="1">
      <x:c r="A86" s="14" t="str">
        <x:v>REGISTER-REFERENCE-9B93C76EF890</x:v>
      </x:c>
      <x:c r="B86" s="14" t="str">
        <x:v>data.ecb.europa.eu</x:v>
      </x:c>
      <x:c r="C86" s="14" t="str">
        <x:v>register_reference</x:v>
      </x:c>
      <x:c r="D86" s="14" t="str">
        <x:v>https://data.ecb.europa.eu/data/datasets/exr/data-information</x:v>
      </x:c>
      <x:c r="E86" s="14" t="str">
        <x:v>2026-08-03</x:v>
      </x:c>
    </x:row>
    <x:row r="87" ht="31.5" customHeight="1">
      <x:c r="A87" s="14" t="str">
        <x:v>REGISTER-REFERENCE-2DA87527D51F</x:v>
      </x:c>
      <x:c r="B87" s="14" t="str">
        <x:v>datahelpdesk.worldbank.org</x:v>
      </x:c>
      <x:c r="C87" s="14" t="str">
        <x:v>register_reference</x:v>
      </x:c>
      <x:c r="D87" s="14" t="str">
        <x:v>https://datahelpdesk.worldbank.org/knowledgebase/articles/898581-api-basic-call-structures</x:v>
      </x:c>
      <x:c r="E87" s="14" t="str">
        <x:v>2026-08-03</x:v>
      </x:c>
    </x:row>
    <x:row r="88" ht="31.5" customHeight="1">
      <x:c r="A88" s="14" t="str">
        <x:v>REGISTER-REFERENCE-1208D3C8F46C</x:v>
      </x:c>
      <x:c r="B88" s="14" t="str">
        <x:v>douanes.public.lu</x:v>
      </x:c>
      <x:c r="C88" s="14" t="str">
        <x:v>register_reference</x:v>
      </x:c>
      <x:c r="D88" s="14" t="str">
        <x:v>https://douanes.public.lu/dam-assets/fr/accises/signes-fiscaux/2024/s48/bareme-e-liquide-s48.pdf</x:v>
      </x:c>
      <x:c r="E88" s="14" t="str">
        <x:v>2026-08-03</x:v>
      </x:c>
    </x:row>
    <x:row r="89" ht="31.5" customHeight="1">
      <x:c r="A89" s="14" t="str">
        <x:v>REGISTER-REFERENCE-25E8C2FC0150</x:v>
      </x:c>
      <x:c r="B89" s="14" t="str">
        <x:v>genesis.destatis.de</x:v>
      </x:c>
      <x:c r="C89" s="14" t="str">
        <x:v>register_reference</x:v>
      </x:c>
      <x:c r="D89" s="14" t="str">
        <x:v>https://genesis.destatis.de/datenbank/online/statistic/73411/table/73411-0003/</x:v>
      </x:c>
      <x:c r="E89" s="14" t="str">
        <x:v>2026-08-03</x:v>
      </x:c>
    </x:row>
    <x:row r="90" ht="31.5" customHeight="1">
      <x:c r="A90" s="14" t="str">
        <x:v>REGISTER-REFERENCE-77110A089CB9</x:v>
      </x:c>
      <x:c r="B90" s="14" t="str">
        <x:v>laws-lois.justice.gc.ca</x:v>
      </x:c>
      <x:c r="C90" s="14" t="str">
        <x:v>register_reference</x:v>
      </x:c>
      <x:c r="D90" s="14" t="str">
        <x:v>https://laws-lois.justice.gc.ca/eng/regulations/SOR-2023-123/FullText.html</x:v>
      </x:c>
      <x:c r="E90" s="14" t="str">
        <x:v>2026-08-03</x:v>
      </x:c>
    </x:row>
    <x:row r="91" ht="31.5" customHeight="1">
      <x:c r="A91" s="14" t="str">
        <x:v>REGISTER-REFERENCE-A3B80D981A8D</x:v>
      </x:c>
      <x:c r="B91" s="14" t="str">
        <x:v>adm.gov.it</x:v>
      </x:c>
      <x:c r="C91" s="14" t="str">
        <x:v>register_reference</x:v>
      </x:c>
      <x:c r="D91" s="14" t="str">
        <x:v>https://www.adm.gov.it/portale/documents/20182/261920520/Libro+blu+2024+-+Relazione.pdf/e46989ce-b39f-a404-3b4b-2af3196cba43</x:v>
      </x:c>
      <x:c r="E91" s="14" t="str">
        <x:v>2026-08-03</x:v>
      </x:c>
    </x:row>
    <x:row r="92" ht="31.5" customHeight="1">
      <x:c r="A92" s="14" t="str">
        <x:v>REGISTER-REFERENCE-50ED634F402A</x:v>
      </x:c>
      <x:c r="B92" s="14" t="str">
        <x:v>ecb.europa.eu</x:v>
      </x:c>
      <x:c r="C92" s="14" t="str">
        <x:v>register_reference</x:v>
      </x:c>
      <x:c r="D92" s="14" t="str">
        <x:v>https://www.ecb.europa.eu/stats/policy_and_exchange_rates/euro_reference_exchange_rates/html/index.en.html</x:v>
      </x:c>
      <x:c r="E92" s="14" t="str">
        <x:v>2026-08-03</x:v>
      </x:c>
    </x:row>
    <x:row r="93" ht="31.5" customHeight="1">
      <x:c r="A93" s="14" t="str">
        <x:v>SE-FHM-PUBLIC-RECORD-RESPONSE-2026-07-24</x:v>
      </x:c>
      <x:c r="B93" s="14" t="str">
        <x:v>Public Health Agency of Sweden</x:v>
      </x:c>
      <x:c r="C93" s="14" t="str">
        <x:v>official_reference</x:v>
      </x:c>
      <x:c r="D93" s="14" t="str">
        <x:v>https://www.folkhalsomyndigheten.se/regler-och-tillsyn/tobak-och-nikotinprodukter-regler-for-tillverkning-handel-och-hantering/elektroniska-cigaretter-och-pafyllningsbehallare-sa-foljer-du-reglerna/</x:v>
      </x:c>
      <x:c r="E93" s="14" t="str">
        <x:v>2026-08-03</x:v>
      </x:c>
    </x:row>
    <x:row r="94" ht="31.5" customHeight="1">
      <x:c r="A94" s="14" t="str">
        <x:v>US-FTC-E-CIGARETTE-REPORT-2015-2018</x:v>
      </x:c>
      <x:c r="B94" s="14" t="str">
        <x:v>Federal Trade Commission</x:v>
      </x:c>
      <x:c r="C94" s="14" t="str">
        <x:v>official_report</x:v>
      </x:c>
      <x:c r="D94" s="14" t="str">
        <x:v>https://www.ftc.gov/reports/e-cigarette-report-2015-2018</x:v>
      </x:c>
      <x:c r="E94" s="14" t="str">
        <x:v>2026-08-03</x:v>
      </x:c>
    </x:row>
    <x:row r="95" ht="31.5" customHeight="1">
      <x:c r="A95" s="14" t="str">
        <x:v>US-FTC-E-CIGARETTE-REPORT-2021</x:v>
      </x:c>
      <x:c r="B95" s="14" t="str">
        <x:v>Federal Trade Commission</x:v>
      </x:c>
      <x:c r="C95" s="14" t="str">
        <x:v>official_report</x:v>
      </x:c>
      <x:c r="D95" s="14" t="str">
        <x:v>https://www.ftc.gov/reports/e-cigarette-report-2021</x:v>
      </x:c>
      <x:c r="E95" s="14" t="str">
        <x:v>2026-08-03</x:v>
      </x:c>
    </x:row>
    <x:row r="96" ht="31.5" customHeight="1">
      <x:c r="A96" s="14" t="str">
        <x:v>REGISTER-REFERENCE-E034CF64F670</x:v>
      </x:c>
      <x:c r="B96" s="14" t="str">
        <x:v>health.govt.nz</x:v>
      </x:c>
      <x:c r="C96" s="14" t="str">
        <x:v>register_reference</x:v>
      </x:c>
      <x:c r="D96" s="14" t="str">
        <x:v>https://www.health.govt.nz/regulation-legislation/vaping-herbal-smoking-and-smokeless-tobacco/requirements/complete-a-notifiable-product-annual-return</x:v>
      </x:c>
      <x:c r="E96" s="14" t="str">
        <x:v>2026-08-03</x:v>
      </x:c>
    </x:row>
    <x:row r="97" ht="31.5" customHeight="1">
      <x:c r="A97" s="14" t="str">
        <x:v>REGISTER-REFERENCE-1766C84ECA96</x:v>
      </x:c>
      <x:c r="B97" s="14" t="str">
        <x:v>health.govt.nz</x:v>
      </x:c>
      <x:c r="C97" s="14" t="str">
        <x:v>register_reference</x:v>
      </x:c>
      <x:c r="D97" s="14" t="str">
        <x:v>https://www.health.govt.nz/system/files/2025-11/notifiable-products-annual-sales-return-2025-user-guide.pdf</x:v>
      </x:c>
      <x:c r="E97" s="14" t="str">
        <x:v>2026-08-03</x:v>
      </x:c>
    </x:row>
    <x:row r="98" ht="31.5" customHeight="1">
      <x:c r="A98" s="14" t="str">
        <x:v>REGISTER-REFERENCE-529570B0D6C7</x:v>
      </x:c>
      <x:c r="B98" s="14" t="str">
        <x:v>podatki.gov.pl</x:v>
      </x:c>
      <x:c r="C98" s="14" t="str">
        <x:v>register_reference</x:v>
      </x:c>
      <x:c r="D98" s="14" t="str">
        <x:v>https://www.podatki.gov.pl/akcyza/komunikaty-w-zakresie-podatku-akcyzowego</x:v>
      </x:c>
      <x:c r="E98" s="14" t="str">
        <x:v>2026-08-03</x:v>
      </x:c>
    </x:row>
    <x:row r="99" ht="31.5" customHeight="1">
      <x:c r="A99" s="14" t="str">
        <x:v>REGISTER-REFERENCE-7AD3E1157197</x:v>
      </x:c>
      <x:c r="B99" s="14" t="str">
        <x:v>podatki.gov.pl</x:v>
      </x:c>
      <x:c r="C99" s="14" t="str">
        <x:v>register_reference</x:v>
      </x:c>
      <x:c r="D99" s="14" t="str">
        <x:v>https://www.podatki.gov.pl/akcyza/stawki-podatkowe/</x:v>
      </x:c>
      <x:c r="E99" s="14" t="str">
        <x:v>2026-08-03</x:v>
      </x:c>
    </x:row>
    <x:row r="100" ht="31.5" customHeight="1">
      <x:c r="A100" s="14" t="str">
        <x:v>REGISTER-REFERENCE-645255DD4B34</x:v>
      </x:c>
      <x:c r="B100" s="14" t="str">
        <x:v>stats.govt.nz</x:v>
      </x:c>
      <x:c r="C100" s="14" t="str">
        <x:v>register_reference</x:v>
      </x:c>
      <x:c r="D100" s="14" t="str">
        <x:v>https://www.stats.govt.nz/large-datasets/csv-files-for-download/overseas-merchandise-trade-datasets/</x:v>
      </x:c>
      <x:c r="E100" s="14" t="str">
        <x:v>2026-08-03</x:v>
      </x:c>
    </x:row>
    <x:row r="101" ht="31.5" customHeight="1">
      <x:c r="A101" s="14" t="str">
        <x:v>UN-MEMBER-STATES</x:v>
      </x:c>
      <x:c r="B101" s="14" t="str">
        <x:v>United Nations</x:v>
      </x:c>
      <x:c r="C101" s="14" t="str">
        <x:v>official_reference</x:v>
      </x:c>
      <x:c r="D101" s="14" t="str">
        <x:v>https://www.un.org/en/about-us/member-states</x:v>
      </x:c>
      <x:c r="E101" s="14" t="str">
        <x:v>2026-08-03</x:v>
      </x:c>
    </x:row>
    <x:row r="102" ht="31.5" customHeight="1">
      <x:c r="A102" s="14" t="str">
        <x:v>UN-NON-MEMBER-STATES</x:v>
      </x:c>
      <x:c r="B102" s="14" t="str">
        <x:v>United Nations</x:v>
      </x:c>
      <x:c r="C102" s="14" t="str">
        <x:v>official_reference</x:v>
      </x:c>
      <x:c r="D102" s="14" t="str">
        <x:v>https://www.un.org/en/about-us/non-member-states</x:v>
      </x:c>
      <x:c r="E102" s="14" t="str">
        <x:v>2026-08-03</x:v>
      </x:c>
    </x:row>
    <x:row r="103" ht="31.5" customHeight="1">
      <x:c r="A103" s="14" t="str">
        <x:v>REGISTER-REFERENCE-3332B0031C1D</x:v>
      </x:c>
      <x:c r="B103" s="14" t="str">
        <x:v>www150.statcan.gc.ca</x:v>
      </x:c>
      <x:c r="C103" s="14" t="str">
        <x:v>register_reference</x:v>
      </x:c>
      <x:c r="D103" s="14" t="str">
        <x:v>https://www150.statcan.gc.ca/t1/tbl1/en/tv.action?pid=2010007101</x:v>
      </x:c>
      <x:c r="E103" s="14" t="str">
        <x:v>2026-08-03</x:v>
      </x:c>
    </x:row>
    <x:row r="104" ht="31.5" customHeight="1">
      <x:c r="A104" s="14" t="str">
        <x:v>REGISTER-REFERENCE-D61AFC87FA19</x:v>
      </x:c>
      <x:c r="B104" s="14" t="str">
        <x:v>www150.statcan.gc.ca</x:v>
      </x:c>
      <x:c r="C104" s="14" t="str">
        <x:v>register_reference</x:v>
      </x:c>
      <x:c r="D104" s="14" t="str">
        <x:v>https://www150.statcan.gc.ca/t1/tbl1/en/tv.action?pid=2010008001</x:v>
      </x:c>
      <x:c r="E104" s="14" t="str">
        <x:v>2026-08-03</x:v>
      </x:c>
    </x:row>
    <x:row r="105" ht="31.5" customHeight="1">
      <x:c r="A105" s="14" t="str">
        <x:v>REGISTER-REFERENCE-9479B1548E50</x:v>
      </x:c>
      <x:c r="B105" s="14" t="str">
        <x:v>www3.stats.govt.nz</x:v>
      </x:c>
      <x:c r="C105" s="14" t="str">
        <x:v>register_reference</x:v>
      </x:c>
      <x:c r="D105" s="14" t="str">
        <x:v>https://www3.stats.govt.nz/HS10_by_Country/2024_Exports_HS10.zip</x:v>
      </x:c>
      <x:c r="E105" s="14" t="str">
        <x:v>2026-08-03</x:v>
      </x:c>
    </x:row>
    <x:row r="106" ht="31.5" customHeight="1">
      <x:c r="A106" s="15" t="str">
        <x:v>REGISTER-REFERENCE-94B1312153E9</x:v>
      </x:c>
      <x:c r="B106" s="15" t="str">
        <x:v>www3.stats.govt.nz</x:v>
      </x:c>
      <x:c r="C106" s="15" t="str">
        <x:v>register_reference</x:v>
      </x:c>
      <x:c r="D106" s="15" t="str">
        <x:v>https://www3.stats.govt.nz/HS10_by_Country/2024_Imports_HS10.zip</x:v>
      </x:c>
      <x:c r="E106" s="15" t="str">
        <x:v>2026-08-03</x:v>
      </x:c>
    </x:row>
  </x:sheetData>
  <x:pageMargins left="0.7" right="0.7" top="0.75" bottom="0.75" header="0.3" footer="0.3"/>
  <x:tableParts count="1">
    <x:tablePart xmlns:r="http://schemas.openxmlformats.org/officeDocument/2006/relationships" r:id="R02e074c8a8dd4fe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DE-2019-WZ4726-TAXABLE-TURNOVER-EUR</x:v>
      </x:c>
      <x:c r="C19" s="14" t="str">
        <x:v>wz4726_tobacco_specialist_taxable_supplies_and_services_turnover</x:v>
      </x:c>
      <x:c r="D19" s="14" t="str">
        <x:v>Germany</x:v>
      </x:c>
      <x:c r="E19" s="14" t="n">
        <x:v>2019</x:v>
      </x:c>
      <x:c r="F19" s="14" t="str">
        <x:v>calendar_year</x:v>
      </x:c>
      <x:c r="G19" s="45" t="n">
        <x:v>2247267035</x:v>
      </x:c>
      <x:c r="H19" s="45" t="str">
        <x:v>EUR</x:v>
      </x:c>
      <x:c r="I19" s="45" t="n">
        <x:v>1</x:v>
      </x:c>
      <x:c r="J19" s="45" t="n">
        <x:f>G19</x:f>
        <x:v>2247267035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DE-2020-WZ4726-TAXABLE-TURNOVER-EUR</x:v>
      </x:c>
      <x:c r="C20" s="14" t="str">
        <x:v>wz4726_tobacco_specialist_taxable_supplies_and_services_turnover</x:v>
      </x:c>
      <x:c r="D20" s="14" t="str">
        <x:v>Germany</x:v>
      </x:c>
      <x:c r="E20" s="14" t="n">
        <x:v>2020</x:v>
      </x:c>
      <x:c r="F20" s="14" t="str">
        <x:v>calendar_year</x:v>
      </x:c>
      <x:c r="G20" s="45" t="n">
        <x:v>2444948000</x:v>
      </x:c>
      <x:c r="H20" s="45" t="str">
        <x:v>EUR</x:v>
      </x:c>
      <x:c r="I20" s="45" t="n">
        <x:v>1</x:v>
      </x:c>
      <x:c r="J20" s="45" t="n">
        <x:f>G20</x:f>
        <x:v>2444948000</x:v>
      </x:c>
      <x:c r="K20" s="14" t="str">
        <x:v>EUR-IDENTITY</x:v>
      </x:c>
      <x:c r="L20" s="14" t="str">
        <x:v>https://www.ecb.europa.eu/stats/policy_and_exchange_rates/euro_reference_exchange_rates/html/index.en.html</x:v>
      </x:c>
      <x:c r="M20" s="14" t="str">
        <x:v>already_eur</x:v>
      </x:c>
      <x:c r="N20" s="14" t="str">
        <x:v>original_currency_already_eur</x:v>
      </x:c>
    </x:row>
    <x:row r="21" ht="25.5" customHeight="1">
      <x:c r="A21" s="14" t="str">
        <x:v>market_observation</x:v>
      </x:c>
      <x:c r="B21" s="14" t="str">
        <x:v>DE-2021-WZ4726-TAXABLE-TURNOVER-EUR</x:v>
      </x:c>
      <x:c r="C21" s="14" t="str">
        <x:v>wz4726_tobacco_specialist_taxable_supplies_and_services_turnover</x:v>
      </x:c>
      <x:c r="D21" s="14" t="str">
        <x:v>Germany</x:v>
      </x:c>
      <x:c r="E21" s="14" t="n">
        <x:v>2021</x:v>
      </x:c>
      <x:c r="F21" s="14" t="str">
        <x:v>calendar_year</x:v>
      </x:c>
      <x:c r="G21" s="45" t="n">
        <x:v>2325648577</x:v>
      </x:c>
      <x:c r="H21" s="45" t="str">
        <x:v>EUR</x:v>
      </x:c>
      <x:c r="I21" s="45" t="n">
        <x:v>1</x:v>
      </x:c>
      <x:c r="J21" s="45" t="n">
        <x:f>G21</x:f>
        <x:v>2325648577</x:v>
      </x:c>
      <x:c r="K21" s="14" t="str">
        <x:v>EUR-IDENTITY</x:v>
      </x:c>
      <x:c r="L21" s="14" t="str">
        <x:v>https://www.ecb.europa.eu/stats/policy_and_exchange_rates/euro_reference_exchange_rates/html/index.en.html</x:v>
      </x:c>
      <x:c r="M21" s="14" t="str">
        <x:v>already_eur</x:v>
      </x:c>
      <x:c r="N21" s="14" t="str">
        <x:v>original_currency_already_eur</x:v>
      </x:c>
    </x:row>
    <x:row r="22" ht="25.5" customHeight="1">
      <x:c r="A22" s="14" t="str">
        <x:v>market_observation</x:v>
      </x:c>
      <x:c r="B22" s="14" t="str">
        <x:v>DE-2022-WZ4726-TAXABLE-TURNOVER-EUR</x:v>
      </x:c>
      <x:c r="C22" s="14" t="str">
        <x:v>wz4726_tobacco_specialist_taxable_supplies_and_services_turnover</x:v>
      </x:c>
      <x:c r="D22" s="14" t="str">
        <x:v>Germany</x:v>
      </x:c>
      <x:c r="E22" s="14" t="n">
        <x:v>2022</x:v>
      </x:c>
      <x:c r="F22" s="14" t="str">
        <x:v>calendar_year</x:v>
      </x:c>
      <x:c r="G22" s="45" t="n">
        <x:v>2510888578</x:v>
      </x:c>
      <x:c r="H22" s="45" t="str">
        <x:v>EUR</x:v>
      </x:c>
      <x:c r="I22" s="45" t="n">
        <x:v>1</x:v>
      </x:c>
      <x:c r="J22" s="45" t="n">
        <x:f>G22</x:f>
        <x:v>2510888578</x:v>
      </x:c>
      <x:c r="K22" s="14" t="str">
        <x:v>EUR-IDENTITY</x:v>
      </x:c>
      <x:c r="L22" s="14" t="str">
        <x:v>https://www.ecb.europa.eu/stats/policy_and_exchange_rates/euro_reference_exchange_rates/html/index.en.html</x:v>
      </x:c>
      <x:c r="M22" s="14" t="str">
        <x:v>already_eur</x:v>
      </x:c>
      <x:c r="N22" s="14" t="str">
        <x:v>original_currency_already_eur</x:v>
      </x:c>
    </x:row>
    <x:row r="23" ht="25.5" customHeight="1">
      <x:c r="A23" s="14" t="str">
        <x:v>market_observation</x:v>
      </x:c>
      <x:c r="B23" s="14" t="str">
        <x:v>DE-2023-WZ4726-TAXABLE-TURNOVER-EUR</x:v>
      </x:c>
      <x:c r="C23" s="14" t="str">
        <x:v>wz4726_tobacco_specialist_taxable_supplies_and_services_turnover</x:v>
      </x:c>
      <x:c r="D23" s="14" t="str">
        <x:v>Germany</x:v>
      </x:c>
      <x:c r="E23" s="14" t="n">
        <x:v>2023</x:v>
      </x:c>
      <x:c r="F23" s="14" t="str">
        <x:v>calendar_year</x:v>
      </x:c>
      <x:c r="G23" s="45" t="n">
        <x:v>2581608198</x:v>
      </x:c>
      <x:c r="H23" s="45" t="str">
        <x:v>EUR</x:v>
      </x:c>
      <x:c r="I23" s="45" t="n">
        <x:v>1</x:v>
      </x:c>
      <x:c r="J23" s="45" t="n">
        <x:f>G23</x:f>
        <x:v>2581608198</x:v>
      </x:c>
      <x:c r="K23" s="14" t="str">
        <x:v>EUR-IDENTITY</x:v>
      </x:c>
      <x:c r="L23" s="14" t="str">
        <x:v>https://www.ecb.europa.eu/stats/policy_and_exchange_rates/euro_reference_exchange_rates/html/index.en.html</x:v>
      </x:c>
      <x:c r="M23" s="14" t="str">
        <x:v>already_eur</x:v>
      </x:c>
      <x:c r="N23" s="14" t="str">
        <x:v>original_currency_already_eur</x:v>
      </x:c>
    </x:row>
    <x:row r="24" ht="25.5" customHeight="1">
      <x:c r="A24" s="14" t="str">
        <x:v>market_observation</x:v>
      </x:c>
      <x:c r="B24" s="14" t="str">
        <x:v>DE-2024-WZ4726-TAXABLE-TURNOVER-EUR</x:v>
      </x:c>
      <x:c r="C24" s="14" t="str">
        <x:v>wz4726_tobacco_specialist_taxable_supplies_and_services_turnover</x:v>
      </x:c>
      <x:c r="D24" s="14" t="str">
        <x:v>Germany</x:v>
      </x:c>
      <x:c r="E24" s="14" t="n">
        <x:v>2024</x:v>
      </x:c>
      <x:c r="F24" s="14" t="str">
        <x:v>calendar_year</x:v>
      </x:c>
      <x:c r="G24" s="45" t="n">
        <x:v>2687776000</x:v>
      </x:c>
      <x:c r="H24" s="45" t="str">
        <x:v>EUR</x:v>
      </x:c>
      <x:c r="I24" s="45" t="n">
        <x:v>1</x:v>
      </x:c>
      <x:c r="J24" s="45" t="n">
        <x:f>G24</x:f>
        <x:v>2687776000</x:v>
      </x:c>
      <x:c r="K24" s="14" t="str">
        <x:v>EUR-IDENTITY</x:v>
      </x:c>
      <x:c r="L24" s="14" t="str">
        <x:v>https://www.ecb.europa.eu/stats/policy_and_exchange_rates/euro_reference_exchange_rates/html/index.en.html</x:v>
      </x:c>
      <x:c r="M24" s="14" t="str">
        <x:v>already_eur</x:v>
      </x:c>
      <x:c r="N24" s="14" t="str">
        <x:v>original_currency_already_eur</x:v>
      </x:c>
    </x:row>
    <x:row r="25" ht="25.5" customHeight="1">
      <x:c r="A25" s="14" t="str">
        <x:v>market_observation</x:v>
      </x:c>
      <x:c r="B25" s="14" t="str">
        <x:v>FI-2025-NICOTINE-E-LIQUID-EXCISE-RECEIPTS</x:v>
      </x:c>
      <x:c r="C25" s="14" t="str">
        <x:v>nicotine_e_liquid_excise_receipts</x:v>
      </x:c>
      <x:c r="D25" s="14" t="str">
        <x:v>Finland</x:v>
      </x:c>
      <x:c r="E25" s="14" t="n">
        <x:v>2025</x:v>
      </x:c>
      <x:c r="F25" s="14" t="str">
        <x:v>calendar_year</x:v>
      </x:c>
      <x:c r="G25" s="45" t="n">
        <x:v>3540319</x:v>
      </x:c>
      <x:c r="H25" s="45" t="str">
        <x:v>EUR</x:v>
      </x:c>
      <x:c r="I25" s="45" t="n">
        <x:v>1</x:v>
      </x:c>
      <x:c r="J25" s="45" t="n">
        <x:f>G25</x:f>
        <x:v>3540319</x:v>
      </x:c>
      <x:c r="K25" s="14" t="str">
        <x:v>EUR-IDENTITY</x:v>
      </x:c>
      <x:c r="L25" s="14" t="str">
        <x:v>https://www.ecb.europa.eu/stats/policy_and_exchange_rates/euro_reference_exchange_rates/html/index.en.html</x:v>
      </x:c>
      <x:c r="M25" s="14" t="str">
        <x:v>already_eur</x:v>
      </x:c>
      <x:c r="N25" s="14" t="str">
        <x:v>original_currency_already_eur</x:v>
      </x:c>
    </x:row>
    <x:row r="26" ht="25.5" customHeight="1">
      <x:c r="A26" s="14" t="str">
        <x:v>market_observation</x:v>
      </x:c>
      <x:c r="B26" s="14" t="str">
        <x:v>PL-2021-E-LIQUID-EXCISE-RECEIPTS</x:v>
      </x:c>
      <x:c r="C26" s="14" t="str">
        <x:v>e_liquid_excise_receipts</x:v>
      </x:c>
      <x:c r="D26" s="14" t="str">
        <x:v>Poland</x:v>
      </x:c>
      <x:c r="E26" s="14" t="n">
        <x:v>2021</x:v>
      </x:c>
      <x:c r="F26" s="14" t="str">
        <x:v>calendar_year</x:v>
      </x:c>
      <x:c r="G26" s="45" t="n">
        <x:v>179500000</x:v>
      </x:c>
      <x:c r="H26" s="45" t="str">
        <x:v>PLN</x:v>
      </x:c>
      <x:c r="I26" s="45" t="n">
        <x:v>4.5651786821705</x:v>
      </x:c>
      <x:c r="J26" s="45" t="n">
        <x:f>G26/I26</x:f>
        <x:v>39319381.01372568</x:v>
      </x:c>
      <x:c r="K26" s="14" t="str">
        <x:v>ECB-EXR-A-PLN-EUR-SP00-A-2021</x:v>
      </x:c>
      <x:c r="L26" s="14" t="str">
        <x:v>https://data-api.ecb.europa.eu/service/data/EXR/A.PLN.EUR.SP00.A?startPeriod=2021&amp;endPeriod=2021&amp;format=csvdata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PL-2022-E-LIQUID-EXCISE-RECEIPTS</x:v>
      </x:c>
      <x:c r="C27" s="14" t="str">
        <x:v>e_liquid_excise_receipts</x:v>
      </x:c>
      <x:c r="D27" s="14" t="str">
        <x:v>Poland</x:v>
      </x:c>
      <x:c r="E27" s="14" t="n">
        <x:v>2022</x:v>
      </x:c>
      <x:c r="F27" s="14" t="str">
        <x:v>calendar_year</x:v>
      </x:c>
      <x:c r="G27" s="45" t="n">
        <x:v>229900000</x:v>
      </x:c>
      <x:c r="H27" s="45" t="str">
        <x:v>PLN</x:v>
      </x:c>
      <x:c r="I27" s="45" t="n">
        <x:v>4.686106614786</x:v>
      </x:c>
      <x:c r="J27" s="45" t="n">
        <x:f>G27/I27</x:f>
        <x:v>49059916.66399566</x:v>
      </x:c>
      <x:c r="K27" s="14" t="str">
        <x:v>ECB-EXR-A-PLN-EUR-SP00-A-2022</x:v>
      </x:c>
      <x:c r="L27" s="14" t="str">
        <x:v>https://data-api.ecb.europa.eu/service/data/EXR/A.PLN.EUR.SP00.A?startPeriod=2022&amp;endPeriod=2022&amp;format=csvdata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PL-2023-E-LIQUID-EXCISE-RECEIPTS</x:v>
      </x:c>
      <x:c r="C28" s="14" t="str">
        <x:v>e_liquid_excise_receipts</x:v>
      </x:c>
      <x:c r="D28" s="14" t="str">
        <x:v>Poland</x:v>
      </x:c>
      <x:c r="E28" s="14" t="n">
        <x:v>2023</x:v>
      </x:c>
      <x:c r="F28" s="14" t="str">
        <x:v>calendar_year</x:v>
      </x:c>
      <x:c r="G28" s="45" t="n">
        <x:v>443600000</x:v>
      </x:c>
      <x:c r="H28" s="45" t="str">
        <x:v>PLN</x:v>
      </x:c>
      <x:c r="I28" s="45" t="n">
        <x:v>4.5419658823529</x:v>
      </x:c>
      <x:c r="J28" s="45" t="n">
        <x:f>G28/I28</x:f>
        <x:v>97666959.96628653</x:v>
      </x:c>
      <x:c r="K28" s="14" t="str">
        <x:v>ECB-EXR-A-PLN-EUR-SP00-A-2023</x:v>
      </x:c>
      <x:c r="L28" s="14" t="str">
        <x:v>https://data-api.ecb.europa.eu/service/data/EXR/A.PLN.EUR.SP00.A?startPeriod=2023&amp;endPeriod=2023&amp;format=csvdata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PL-2024-E-LIQUID-EXCISE-RECEIPTS</x:v>
      </x:c>
      <x:c r="C29" s="14" t="str">
        <x:v>e_liquid_excise_receipts</x:v>
      </x:c>
      <x:c r="D29" s="14" t="str">
        <x:v>Poland</x:v>
      </x:c>
      <x:c r="E29" s="14" t="n">
        <x:v>2024</x:v>
      </x:c>
      <x:c r="F29" s="14" t="str">
        <x:v>calendar_year</x:v>
      </x:c>
      <x:c r="G29" s="45" t="n">
        <x:v>561400000</x:v>
      </x:c>
      <x:c r="H29" s="45" t="str">
        <x:v>PLN</x:v>
      </x:c>
      <x:c r="I29" s="45" t="n">
        <x:v>4.305795703125</x:v>
      </x:c>
      <x:c r="J29" s="45" t="n">
        <x:f>G29/I29</x:f>
        <x:v>130382405.18298511</x:v>
      </x:c>
      <x:c r="K29" s="14" t="str">
        <x:v>ECB-EXR-A-PLN-EUR-SP00-A-2024</x:v>
      </x:c>
      <x:c r="L29" s="14" t="str">
        <x:v>https://data-api.ecb.europa.eu/service/data/EXR/A.PLN.EUR.SP00.A?startPeriod=2024&amp;endPeriod=2024&amp;format=csvdata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PL-2015-UOKIK-E-CIGARETTE-MARKET-VALUE-ESTIMATE</x:v>
      </x:c>
      <x:c r="C30" s="14" t="str">
        <x:v>institutional_market_value_benchmark</x:v>
      </x:c>
      <x:c r="D30" s="14" t="str">
        <x:v>Poland</x:v>
      </x:c>
      <x:c r="E30" s="14" t="n">
        <x:v>2015</x:v>
      </x:c>
      <x:c r="F30" s="14" t="str">
        <x:v>study_reference_period_may_2015</x:v>
      </x:c>
      <x:c r="G30" s="45" t="n">
        <x:v>500000000</x:v>
      </x:c>
      <x:c r="H30" s="45" t="str">
        <x:v>PLN</x:v>
      </x:c>
      <x:c r="I30" s="45"/>
      <x:c r="J30" s="45"/>
      <x:c r="K30" s="14"/>
      <x:c r="L30" s="14" t="str">
        <x:v>https://data.ecb.europa.eu/data/datasets/exr/data-information</x:v>
      </x:c>
      <x:c r="M30" s="14" t="str">
        <x:v>not_computed</x:v>
      </x:c>
      <x:c r="N30" s="14" t="str">
        <x:v>period_not_compatible_with_annual_average</x:v>
      </x:c>
    </x:row>
    <x:row r="31" ht="25.5" customHeight="1">
      <x:c r="A31" s="14" t="str">
        <x:v>market_observation</x:v>
      </x:c>
      <x:c r="B31" s="14" t="str">
        <x:v>PL-2025-E-LIQUID-EXCISE-AMOUNT</x:v>
      </x:c>
      <x:c r="C31" s="14" t="str">
        <x:v>e_liquid_excise_receipts</x:v>
      </x:c>
      <x:c r="D31" s="14" t="str">
        <x:v>Poland</x:v>
      </x:c>
      <x:c r="E31" s="14" t="n">
        <x:v>2025</x:v>
      </x:c>
      <x:c r="F31" s="14" t="str">
        <x:v>calendar_year</x:v>
      </x:c>
      <x:c r="G31" s="45" t="n">
        <x:v>993100000</x:v>
      </x:c>
      <x:c r="H31" s="45" t="str">
        <x:v>PLN</x:v>
      </x:c>
      <x:c r="I31" s="45" t="n">
        <x:v>4.2396576470588</x:v>
      </x:c>
      <x:c r="J31" s="45" t="n">
        <x:f>G31/I31</x:f>
        <x:v>234240611.54771507</x:v>
      </x:c>
      <x:c r="K31" s="14" t="str">
        <x:v>ECB-EXR-A-PLN-EUR-SP00-A-2025</x:v>
      </x:c>
      <x:c r="L31" s="14" t="str">
        <x:v>https://data-api.ecb.europa.eu/service/data/EXR/A.PLN.EUR.SP00.A?startPeriod=2025&amp;endPeriod=2025&amp;format=csvdata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PL-2025-VAPING-DEVICE-EXCISE-AMOUNT</x:v>
      </x:c>
      <x:c r="C32" s="14" t="str">
        <x:v>vaporisation_device_broad_group_excise_amount</x:v>
      </x:c>
      <x:c r="D32" s="14" t="str">
        <x:v>Poland</x:v>
      </x:c>
      <x:c r="E32" s="14" t="n">
        <x:v>2025</x:v>
      </x:c>
      <x:c r="F32" s="14" t="str">
        <x:v>calendar_year</x:v>
      </x:c>
      <x:c r="G32" s="45" t="n">
        <x:v>175300000</x:v>
      </x:c>
      <x:c r="H32" s="45" t="str">
        <x:v>PLN</x:v>
      </x:c>
      <x:c r="I32" s="45" t="n">
        <x:v>4.2396576470588</x:v>
      </x:c>
      <x:c r="J32" s="45" t="n">
        <x:f>G32/I32</x:f>
        <x:v>41347678.183782555</x:v>
      </x:c>
      <x:c r="K32" s="14" t="str">
        <x:v>ECB-EXR-A-PLN-EUR-SP00-A-2025</x:v>
      </x:c>
      <x:c r="L32" s="14" t="str">
        <x:v>https://data-api.ecb.europa.eu/service/data/EXR/A.PLN.EUR.SP00.A?startPeriod=2025&amp;endPeriod=2025&amp;format=csvdata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PL-2025-VAPING-COMPONENT-SETS-EXCISE-AMOUNT</x:v>
      </x:c>
      <x:c r="C33" s="14" t="str">
        <x:v>vaporisation_device_component_sets_broad_group_excise_amount</x:v>
      </x:c>
      <x:c r="D33" s="14" t="str">
        <x:v>Poland</x:v>
      </x:c>
      <x:c r="E33" s="14" t="n">
        <x:v>2025</x:v>
      </x:c>
      <x:c r="F33" s="14" t="str">
        <x:v>calendar_year</x:v>
      </x:c>
      <x:c r="G33" s="45" t="n">
        <x:v>2500000</x:v>
      </x:c>
      <x:c r="H33" s="45" t="str">
        <x:v>PLN</x:v>
      </x:c>
      <x:c r="I33" s="45" t="n">
        <x:v>4.2396576470588</x:v>
      </x:c>
      <x:c r="J33" s="45" t="n">
        <x:f>G33/I33</x:f>
        <x:v>589670.2536192606</x:v>
      </x:c>
      <x:c r="K33" s="14" t="str">
        <x:v>ECB-EXR-A-PLN-EUR-SP00-A-2025</x:v>
      </x:c>
      <x:c r="L33" s="14" t="str">
        <x:v>https://data-api.ecb.europa.eu/service/data/EXR/A.PLN.EUR.SP00.A?startPeriod=2025&amp;endPeriod=2025&amp;format=csvdata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market_observation</x:v>
      </x:c>
      <x:c r="B34" s="14" t="str">
        <x:v>SE-2024-NICOTINE-E-LIQUID-EXCISE-RECEIPTS</x:v>
      </x:c>
      <x:c r="C34" s="14" t="str">
        <x:v>nicotine_e_liquid_excise_receipts</x:v>
      </x:c>
      <x:c r="D34" s="14" t="str">
        <x:v>Sweden</x:v>
      </x:c>
      <x:c r="E34" s="14" t="n">
        <x:v>2024</x:v>
      </x:c>
      <x:c r="F34" s="14" t="str">
        <x:v>calendar_year</x:v>
      </x:c>
      <x:c r="G34" s="45" t="n">
        <x:v>80000000</x:v>
      </x:c>
      <x:c r="H34" s="45" t="str">
        <x:v>SEK</x:v>
      </x:c>
      <x:c r="I34" s="45" t="n">
        <x:v>11.432519140625</x:v>
      </x:c>
      <x:c r="J34" s="45" t="n">
        <x:f>G34/I34</x:f>
        <x:v>6997582.861306848</x:v>
      </x:c>
      <x:c r="K34" s="14" t="str">
        <x:v>ECB-EXR-A-SEK-EUR-SP00-A-2024</x:v>
      </x:c>
      <x:c r="L34" s="14" t="str">
        <x:v>https://data-api.ecb.europa.eu/service/data/EXR/A.SEK.EUR.SP00.A?startPeriod=2024&amp;endPeriod=2024&amp;format=csvdata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market_observation</x:v>
      </x:c>
      <x:c r="B35" s="14" t="str">
        <x:v>GLOBAL-2025-IMARC-COMMERCIAL-ESTIMATE</x:v>
      </x:c>
      <x:c r="C35" s="14" t="str">
        <x:v>commercial_market_estimate</x:v>
      </x:c>
      <x:c r="D35" s="14" t="str">
        <x:v>Global</x:v>
      </x:c>
      <x:c r="E35" s="14" t="n">
        <x:v>2025</x:v>
      </x:c>
      <x:c r="F35" s="14" t="str">
        <x:v>calendar_year_estimate</x:v>
      </x:c>
      <x:c r="G35" s="45" t="n">
        <x:v>26000000000</x:v>
      </x:c>
      <x:c r="H35" s="45" t="str">
        <x:v>USD</x:v>
      </x:c>
      <x:c r="I35" s="45" t="n">
        <x:v>1.1299831372549</x:v>
      </x:c>
      <x:c r="J35" s="45" t="n">
        <x:f>G35/I35</x:f>
        <x:v>23009192918.721367</x:v>
      </x:c>
      <x:c r="K35" s="14" t="str">
        <x:v>ECB-EXR-A-USD-EUR-SP00-A-2025</x:v>
      </x:c>
      <x:c r="L35" s="14" t="str">
        <x:v>https://data-api.ecb.europa.eu/service/data/EXR/A.USD.EUR.SP00.A?startPeriod=2025&amp;endPeriod=2025&amp;format=csvdata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market_observation</x:v>
      </x:c>
      <x:c r="B36" s="14" t="str">
        <x:v>GLOBAL-2025-GVR-COMMERCIAL-ESTIMATE</x:v>
      </x:c>
      <x:c r="C36" s="14" t="str">
        <x:v>commercial_market_estimate</x:v>
      </x:c>
      <x:c r="D36" s="14" t="str">
        <x:v>Global</x:v>
      </x:c>
      <x:c r="E36" s="14" t="n">
        <x:v>2025</x:v>
      </x:c>
      <x:c r="F36" s="14" t="str">
        <x:v>calendar_year_estimate</x:v>
      </x:c>
      <x:c r="G36" s="45" t="n">
        <x:v>45700000000</x:v>
      </x:c>
      <x:c r="H36" s="45" t="str">
        <x:v>USD</x:v>
      </x:c>
      <x:c r="I36" s="45" t="n">
        <x:v>1.1299831372549</x:v>
      </x:c>
      <x:c r="J36" s="45" t="n">
        <x:f>G36/I36</x:f>
        <x:v>40443081399.44486</x:v>
      </x:c>
      <x:c r="K36" s="14" t="str">
        <x:v>ECB-EXR-A-USD-EUR-SP00-A-2025</x:v>
      </x:c>
      <x:c r="L36" s="14" t="str">
        <x:v>https://data-api.ecb.europa.eu/service/data/EXR/A.USD.EUR.SP00.A?startPeriod=2025&amp;endPeriod=2025&amp;format=csvdata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market_observation</x:v>
      </x:c>
      <x:c r="B37" s="14" t="str">
        <x:v>GLOBAL-2025-FORTUNE-COMMERCIAL-ESTIMATE</x:v>
      </x:c>
      <x:c r="C37" s="14" t="str">
        <x:v>commercial_market_estimate</x:v>
      </x:c>
      <x:c r="D37" s="14" t="str">
        <x:v>Global</x:v>
      </x:c>
      <x:c r="E37" s="14" t="n">
        <x:v>2025</x:v>
      </x:c>
      <x:c r="F37" s="14" t="str">
        <x:v>calendar_year_estimate</x:v>
      </x:c>
      <x:c r="G37" s="45" t="n">
        <x:v>46320000000</x:v>
      </x:c>
      <x:c r="H37" s="45" t="str">
        <x:v>USD</x:v>
      </x:c>
      <x:c r="I37" s="45" t="n">
        <x:v>1.1299831372549</x:v>
      </x:c>
      <x:c r="J37" s="45" t="n">
        <x:f>G37/I37</x:f>
        <x:v>40991762153.66052</x:v>
      </x:c>
      <x:c r="K37" s="14" t="str">
        <x:v>ECB-EXR-A-USD-EUR-SP00-A-2025</x:v>
      </x:c>
      <x:c r="L37" s="14" t="str">
        <x:v>https://data-api.ecb.europa.eu/service/data/EXR/A.USD.EUR.SP00.A?startPeriod=2025&amp;endPeriod=2025&amp;format=csvdata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market_observation</x:v>
      </x:c>
      <x:c r="B38" s="14" t="str">
        <x:v>US-2015-FTC-CARTRIDGE-DISPOSABLE-REPORTED-SALES</x:v>
      </x:c>
      <x:c r="C38" s="14" t="str">
        <x:v>ftc_reported_cartridge_and_disposable_sales</x:v>
      </x:c>
      <x:c r="D38" s="14" t="str">
        <x:v>United States</x:v>
      </x:c>
      <x:c r="E38" s="14" t="n">
        <x:v>2015</x:v>
      </x:c>
      <x:c r="F38" s="14" t="str">
        <x:v>calendar_year</x:v>
      </x:c>
      <x:c r="G38" s="45" t="n">
        <x:v>304170046</x:v>
      </x:c>
      <x:c r="H38" s="45" t="str">
        <x:v>USD</x:v>
      </x:c>
      <x:c r="I38" s="45" t="n">
        <x:v>1.109512890625</x:v>
      </x:c>
      <x:c r="J38" s="45" t="n">
        <x:f>G38/I38</x:f>
        <x:v>274147374.5552049</x:v>
      </x:c>
      <x:c r="K38" s="14" t="str">
        <x:v>ECB-EXR-A-USD-EUR-SP00-A-2015</x:v>
      </x:c>
      <x:c r="L38" s="14" t="str">
        <x:v>https://data-api.ecb.europa.eu/service/data/EXR/A.USD.EUR.SP00.A?startPeriod=2015&amp;endPeriod=2015&amp;format=csvdata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market_observation</x:v>
      </x:c>
      <x:c r="B39" s="14" t="str">
        <x:v>US-2016-FTC-CARTRIDGE-DISPOSABLE-REPORTED-SALES</x:v>
      </x:c>
      <x:c r="C39" s="14" t="str">
        <x:v>ftc_reported_cartridge_and_disposable_sales</x:v>
      </x:c>
      <x:c r="D39" s="14" t="str">
        <x:v>United States</x:v>
      </x:c>
      <x:c r="E39" s="14" t="n">
        <x:v>2016</x:v>
      </x:c>
      <x:c r="F39" s="14" t="str">
        <x:v>calendar_year</x:v>
      </x:c>
      <x:c r="G39" s="45" t="n">
        <x:v>485707484</x:v>
      </x:c>
      <x:c r="H39" s="45" t="str">
        <x:v>USD</x:v>
      </x:c>
      <x:c r="I39" s="45" t="n">
        <x:v>1.1069031128405</x:v>
      </x:c>
      <x:c r="J39" s="45" t="n">
        <x:f>G39/I39</x:f>
        <x:v>438798552.7961817</x:v>
      </x:c>
      <x:c r="K39" s="14" t="str">
        <x:v>ECB-EXR-A-USD-EUR-SP00-A-2016</x:v>
      </x:c>
      <x:c r="L39" s="14" t="str">
        <x:v>https://data-api.ecb.europa.eu/service/data/EXR/A.USD.EUR.SP00.A?startPeriod=2016&amp;endPeriod=2016&amp;format=csvdata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market_observation</x:v>
      </x:c>
      <x:c r="B40" s="14" t="str">
        <x:v>US-2017-FTC-CARTRIDGE-DISPOSABLE-REPORTED-SALES</x:v>
      </x:c>
      <x:c r="C40" s="14" t="str">
        <x:v>ftc_reported_cartridge_and_disposable_sales</x:v>
      </x:c>
      <x:c r="D40" s="14" t="str">
        <x:v>United States</x:v>
      </x:c>
      <x:c r="E40" s="14" t="n">
        <x:v>2017</x:v>
      </x:c>
      <x:c r="F40" s="14" t="str">
        <x:v>calendar_year</x:v>
      </x:c>
      <x:c r="G40" s="45" t="n">
        <x:v>779836399</x:v>
      </x:c>
      <x:c r="H40" s="45" t="str">
        <x:v>USD</x:v>
      </x:c>
      <x:c r="I40" s="45" t="n">
        <x:v>1.1296811764706</x:v>
      </x:c>
      <x:c r="J40" s="45" t="n">
        <x:f>G40/I40</x:f>
        <x:v>690315475.943752</x:v>
      </x:c>
      <x:c r="K40" s="14" t="str">
        <x:v>ECB-EXR-A-USD-EUR-SP00-A-2017</x:v>
      </x:c>
      <x:c r="L40" s="14" t="str">
        <x:v>https://data-api.ecb.europa.eu/service/data/EXR/A.USD.EUR.SP00.A?startPeriod=2017&amp;endPeriod=2017&amp;format=csvdata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market_observation</x:v>
      </x:c>
      <x:c r="B41" s="14" t="str">
        <x:v>US-2018-FTC-CARTRIDGE-DISPOSABLE-REPORTED-SALES</x:v>
      </x:c>
      <x:c r="C41" s="14" t="str">
        <x:v>ftc_reported_cartridge_and_disposable_sales</x:v>
      </x:c>
      <x:c r="D41" s="14" t="str">
        <x:v>United States</x:v>
      </x:c>
      <x:c r="E41" s="14" t="n">
        <x:v>2018</x:v>
      </x:c>
      <x:c r="F41" s="14" t="str">
        <x:v>calendar_year</x:v>
      </x:c>
      <x:c r="G41" s="45" t="n">
        <x:v>2043703005</x:v>
      </x:c>
      <x:c r="H41" s="45" t="str">
        <x:v>USD</x:v>
      </x:c>
      <x:c r="I41" s="45" t="n">
        <x:v>1.1809545098039</x:v>
      </x:c>
      <x:c r="J41" s="45" t="n">
        <x:f>G41/I41</x:f>
        <x:v>1730551844.3207107</x:v>
      </x:c>
      <x:c r="K41" s="14" t="str">
        <x:v>ECB-EXR-A-USD-EUR-SP00-A-2018</x:v>
      </x:c>
      <x:c r="L41" s="14" t="str">
        <x:v>https://data-api.ecb.europa.eu/service/data/EXR/A.USD.EUR.SP00.A?startPeriod=2018&amp;endPeriod=2018&amp;format=csvdata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market_observation</x:v>
      </x:c>
      <x:c r="B42" s="14" t="str">
        <x:v>US-2019-FTC-CARTRIDGE-DISPOSABLE-REPORTED-SALES</x:v>
      </x:c>
      <x:c r="C42" s="14" t="str">
        <x:v>ftc_reported_cartridge_and_disposable_sales</x:v>
      </x:c>
      <x:c r="D42" s="14" t="str">
        <x:v>United States</x:v>
      </x:c>
      <x:c r="E42" s="14" t="n">
        <x:v>2019</x:v>
      </x:c>
      <x:c r="F42" s="14" t="str">
        <x:v>calendar_year</x:v>
      </x:c>
      <x:c r="G42" s="45" t="n">
        <x:v>2702608307</x:v>
      </x:c>
      <x:c r="H42" s="45" t="str">
        <x:v>USD</x:v>
      </x:c>
      <x:c r="I42" s="45" t="n">
        <x:v>1.1194745098039</x:v>
      </x:c>
      <x:c r="J42" s="45" t="n">
        <x:f>G42/I42</x:f>
        <x:v>2414175832.796246</x:v>
      </x:c>
      <x:c r="K42" s="14" t="str">
        <x:v>ECB-EXR-A-USD-EUR-SP00-A-2019</x:v>
      </x:c>
      <x:c r="L42" s="14" t="str">
        <x:v>https://data-api.ecb.europa.eu/service/data/EXR/A.USD.EUR.SP00.A?startPeriod=2019&amp;endPeriod=2019&amp;format=csvdata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market_observation</x:v>
      </x:c>
      <x:c r="B43" s="14" t="str">
        <x:v>US-2020-FTC-CARTRIDGE-DISPOSABLE-REPORTED-SALES</x:v>
      </x:c>
      <x:c r="C43" s="14" t="str">
        <x:v>ftc_reported_cartridge_and_disposable_sales</x:v>
      </x:c>
      <x:c r="D43" s="14" t="str">
        <x:v>United States</x:v>
      </x:c>
      <x:c r="E43" s="14" t="n">
        <x:v>2020</x:v>
      </x:c>
      <x:c r="F43" s="14" t="str">
        <x:v>calendar_year</x:v>
      </x:c>
      <x:c r="G43" s="45" t="n">
        <x:v>2394423105</x:v>
      </x:c>
      <x:c r="H43" s="45" t="str">
        <x:v>USD</x:v>
      </x:c>
      <x:c r="I43" s="45" t="n">
        <x:v>1.1421961089494</x:v>
      </x:c>
      <x:c r="J43" s="45" t="n">
        <x:f>G43/I43</x:f>
        <x:v>2096332745.523365</x:v>
      </x:c>
      <x:c r="K43" s="14" t="str">
        <x:v>ECB-EXR-A-USD-EUR-SP00-A-2020</x:v>
      </x:c>
      <x:c r="L43" s="14" t="str">
        <x:v>https://data-api.ecb.europa.eu/service/data/EXR/A.USD.EUR.SP00.A?startPeriod=2020&amp;endPeriod=2020&amp;format=csvdata</x:v>
      </x:c>
      <x:c r="M43" s="14" t="str">
        <x:v>computed</x:v>
      </x:c>
      <x:c r="N43" s="14" t="str">
        <x:v>original_amount_divided_by_ecb_annual_average</x:v>
      </x:c>
    </x:row>
    <x:row r="44" ht="25.5" customHeight="1">
      <x:c r="A44" s="14" t="str">
        <x:v>market_observation</x:v>
      </x:c>
      <x:c r="B44" s="14" t="str">
        <x:v>US-2021-FTC-CARTRIDGE-DISPOSABLE-REPORTED-SALES</x:v>
      </x:c>
      <x:c r="C44" s="14" t="str">
        <x:v>ftc_reported_cartridge_and_disposable_sales</x:v>
      </x:c>
      <x:c r="D44" s="14" t="str">
        <x:v>United States</x:v>
      </x:c>
      <x:c r="E44" s="14" t="n">
        <x:v>2021</x:v>
      </x:c>
      <x:c r="F44" s="14" t="str">
        <x:v>calendar_year</x:v>
      </x:c>
      <x:c r="G44" s="45" t="n">
        <x:v>2763284338</x:v>
      </x:c>
      <x:c r="H44" s="45" t="str">
        <x:v>USD</x:v>
      </x:c>
      <x:c r="I44" s="45" t="n">
        <x:v>1.1827403100775</x:v>
      </x:c>
      <x:c r="J44" s="45" t="n">
        <x:f>G44/I44</x:f>
        <x:v>2336340711.866778</x:v>
      </x:c>
      <x:c r="K44" s="14" t="str">
        <x:v>ECB-EXR-A-USD-EUR-SP00-A-2021</x:v>
      </x:c>
      <x:c r="L44" s="14" t="str">
        <x:v>https://data-api.ecb.europa.eu/service/data/EXR/A.USD.EUR.SP00.A?startPeriod=2021&amp;endPeriod=2021&amp;format=csvdata</x:v>
      </x:c>
      <x:c r="M44" s="14" t="str">
        <x:v>computed</x:v>
      </x:c>
      <x:c r="N44" s="14" t="str">
        <x:v>original_amount_divided_by_ecb_annual_average</x:v>
      </x:c>
    </x:row>
    <x:row r="45" ht="25.5" customHeight="1">
      <x:c r="A45" s="14" t="str">
        <x:v>market_observation</x:v>
      </x:c>
      <x:c r="B45" s="14" t="str">
        <x:v>NZ-2019-HES-E-CIGARETTES-AND-REFILLS-EXPENDITURE-NZD</x:v>
      </x:c>
      <x:c r="C45" s="14" t="str">
        <x:v>household_expenditure_estimate</x:v>
      </x:c>
      <x:c r="D45" s="14" t="str">
        <x:v>New Zealand</x:v>
      </x:c>
      <x:c r="E45" s="14" t="n">
        <x:v>2019</x:v>
      </x:c>
      <x:c r="F45" s="14" t="str">
        <x:v>year_ended_june</x:v>
      </x:c>
      <x:c r="G45" s="45" t="n">
        <x:v>42276000</x:v>
      </x:c>
      <x:c r="H45" s="45" t="str">
        <x:v>NZD</x:v>
      </x:c>
      <x:c r="I45" s="45"/>
      <x:c r="J45" s="45"/>
      <x:c r="K45" s="14"/>
      <x:c r="L45" s="14" t="str">
        <x:v>https://data.ecb.europa.eu/data/datasets/exr/data-information</x:v>
      </x:c>
      <x:c r="M45" s="14" t="str">
        <x:v>not_computed</x:v>
      </x:c>
      <x:c r="N45" s="14" t="str">
        <x:v>period_not_compatible_with_annual_average</x:v>
      </x:c>
    </x:row>
    <x:row r="46" ht="25.5" customHeight="1">
      <x:c r="A46" s="14" t="str">
        <x:v>market_observation</x:v>
      </x:c>
      <x:c r="B46" s="14" t="str">
        <x:v>NZ-2019-HES-E-CIGARETTE-DEVICES-EXPENDITURE-NZD</x:v>
      </x:c>
      <x:c r="C46" s="14" t="str">
        <x:v>household_expenditure_estimate</x:v>
      </x:c>
      <x:c r="D46" s="14" t="str">
        <x:v>New Zealand</x:v>
      </x:c>
      <x:c r="E46" s="14" t="n">
        <x:v>2019</x:v>
      </x:c>
      <x:c r="F46" s="14" t="str">
        <x:v>year_ended_june</x:v>
      </x:c>
      <x:c r="G46" s="45" t="n">
        <x:v>18034000</x:v>
      </x:c>
      <x:c r="H46" s="45" t="str">
        <x:v>NZD</x:v>
      </x:c>
      <x:c r="I46" s="45"/>
      <x:c r="J46" s="45"/>
      <x:c r="K46" s="14"/>
      <x:c r="L46" s="14" t="str">
        <x:v>https://data.ecb.europa.eu/data/datasets/exr/data-information</x:v>
      </x:c>
      <x:c r="M46" s="14" t="str">
        <x:v>not_computed</x:v>
      </x:c>
      <x:c r="N46" s="14" t="str">
        <x:v>period_not_compatible_with_annual_average</x:v>
      </x:c>
    </x:row>
    <x:row r="47" ht="25.5" customHeight="1">
      <x:c r="A47" s="14" t="str">
        <x:v>market_observation</x:v>
      </x:c>
      <x:c r="B47" s="14" t="str">
        <x:v>NZ-2019-HES-E-CIGARETTE-REFILLS-EXPENDITURE-NZD</x:v>
      </x:c>
      <x:c r="C47" s="14" t="str">
        <x:v>household_expenditure_estimate</x:v>
      </x:c>
      <x:c r="D47" s="14" t="str">
        <x:v>New Zealand</x:v>
      </x:c>
      <x:c r="E47" s="14" t="n">
        <x:v>2019</x:v>
      </x:c>
      <x:c r="F47" s="14" t="str">
        <x:v>year_ended_june</x:v>
      </x:c>
      <x:c r="G47" s="45" t="n">
        <x:v>24242000</x:v>
      </x:c>
      <x:c r="H47" s="45" t="str">
        <x:v>NZD</x:v>
      </x:c>
      <x:c r="I47" s="45"/>
      <x:c r="J47" s="45"/>
      <x:c r="K47" s="14"/>
      <x:c r="L47" s="14" t="str">
        <x:v>https://data.ecb.europa.eu/data/datasets/exr/data-information</x:v>
      </x:c>
      <x:c r="M47" s="14" t="str">
        <x:v>not_computed</x:v>
      </x:c>
      <x:c r="N47" s="14" t="str">
        <x:v>period_not_compatible_with_annual_average</x:v>
      </x:c>
    </x:row>
    <x:row r="48" ht="25.5" customHeight="1">
      <x:c r="A48" s="14" t="str">
        <x:v>market_observation</x:v>
      </x:c>
      <x:c r="B48" s="14" t="str">
        <x:v>NZ-2023-HES-E-CIGARETTES-AND-REFILLS-EXPENDITURE-NZD</x:v>
      </x:c>
      <x:c r="C48" s="14" t="str">
        <x:v>household_expenditure_estimate</x:v>
      </x:c>
      <x:c r="D48" s="14" t="str">
        <x:v>New Zealand</x:v>
      </x:c>
      <x:c r="E48" s="14" t="n">
        <x:v>2023</x:v>
      </x:c>
      <x:c r="F48" s="14" t="str">
        <x:v>year_ended_june</x:v>
      </x:c>
      <x:c r="G48" s="45" t="n">
        <x:v>186980000</x:v>
      </x:c>
      <x:c r="H48" s="45" t="str">
        <x:v>NZD</x:v>
      </x:c>
      <x:c r="I48" s="45"/>
      <x:c r="J48" s="45"/>
      <x:c r="K48" s="14"/>
      <x:c r="L48" s="14" t="str">
        <x:v>https://data.ecb.europa.eu/data/datasets/exr/data-information</x:v>
      </x:c>
      <x:c r="M48" s="14" t="str">
        <x:v>not_computed</x:v>
      </x:c>
      <x:c r="N48" s="14" t="str">
        <x:v>period_not_compatible_with_annual_average</x:v>
      </x:c>
    </x:row>
    <x:row r="49" ht="25.5" customHeight="1">
      <x:c r="A49" s="14" t="str">
        <x:v>market_observation</x:v>
      </x:c>
      <x:c r="B49" s="14" t="str">
        <x:v>NZ-2023-HES-E-CIGARETTE-DEVICES-EXPENDITURE-NZD</x:v>
      </x:c>
      <x:c r="C49" s="14" t="str">
        <x:v>household_expenditure_estimate</x:v>
      </x:c>
      <x:c r="D49" s="14" t="str">
        <x:v>New Zealand</x:v>
      </x:c>
      <x:c r="E49" s="14" t="n">
        <x:v>2023</x:v>
      </x:c>
      <x:c r="F49" s="14" t="str">
        <x:v>year_ended_june</x:v>
      </x:c>
      <x:c r="G49" s="45" t="n">
        <x:v>22488000</x:v>
      </x:c>
      <x:c r="H49" s="45" t="str">
        <x:v>NZD</x:v>
      </x:c>
      <x:c r="I49" s="45"/>
      <x:c r="J49" s="45"/>
      <x:c r="K49" s="14"/>
      <x:c r="L49" s="14" t="str">
        <x:v>https://data.ecb.europa.eu/data/datasets/exr/data-information</x:v>
      </x:c>
      <x:c r="M49" s="14" t="str">
        <x:v>not_computed</x:v>
      </x:c>
      <x:c r="N49" s="14" t="str">
        <x:v>period_not_compatible_with_annual_average</x:v>
      </x:c>
    </x:row>
    <x:row r="50" ht="25.5" customHeight="1">
      <x:c r="A50" s="14" t="str">
        <x:v>market_observation</x:v>
      </x:c>
      <x:c r="B50" s="14" t="str">
        <x:v>NZ-2023-HES-E-CIGARETTE-REFILLS-EXPENDITURE-NZD</x:v>
      </x:c>
      <x:c r="C50" s="14" t="str">
        <x:v>household_expenditure_estimate</x:v>
      </x:c>
      <x:c r="D50" s="14" t="str">
        <x:v>New Zealand</x:v>
      </x:c>
      <x:c r="E50" s="14" t="n">
        <x:v>2023</x:v>
      </x:c>
      <x:c r="F50" s="14" t="str">
        <x:v>year_ended_june</x:v>
      </x:c>
      <x:c r="G50" s="45" t="n">
        <x:v>164492000</x:v>
      </x:c>
      <x:c r="H50" s="45" t="str">
        <x:v>NZD</x:v>
      </x:c>
      <x:c r="I50" s="45"/>
      <x:c r="J50" s="45"/>
      <x:c r="K50" s="14"/>
      <x:c r="L50" s="14" t="str">
        <x:v>https://data.ecb.europa.eu/data/datasets/exr/data-information</x:v>
      </x:c>
      <x:c r="M50" s="14" t="str">
        <x:v>not_computed</x:v>
      </x:c>
      <x:c r="N50" s="14" t="str">
        <x:v>period_not_compatible_with_annual_average</x:v>
      </x:c>
    </x:row>
    <x:row r="51" ht="25.5" customHeight="1">
      <x:c r="A51" s="14" t="str">
        <x:v>market_observation</x:v>
      </x:c>
      <x:c r="B51" s="14" t="str">
        <x:v>CA-2021-HC-VAPING-MARKET-BENCHMARK</x:v>
      </x:c>
      <x:c r="C51" s="14" t="str">
        <x:v>institutional_market_value_benchmark</x:v>
      </x:c>
      <x:c r="D51" s="14" t="str">
        <x:v>Canada</x:v>
      </x:c>
      <x:c r="E51" s="14" t="n">
        <x:v>2021</x:v>
      </x:c>
      <x:c r="F51" s="14" t="str">
        <x:v>calendar_year</x:v>
      </x:c>
      <x:c r="G51" s="45" t="n">
        <x:v>2040000000</x:v>
      </x:c>
      <x:c r="H51" s="45" t="str">
        <x:v>CAD</x:v>
      </x:c>
      <x:c r="I51" s="45" t="n">
        <x:v>1.4825689922481</x:v>
      </x:c>
      <x:c r="J51" s="45" t="n">
        <x:f>G51/I51</x:f>
        <x:v>1375989927.3939602</x:v>
      </x:c>
      <x:c r="K51" s="14" t="str">
        <x:v>ECB-EXR-A-CAD-EUR-SP00-A-2021</x:v>
      </x:c>
      <x:c r="L51" s="14" t="str">
        <x:v>https://data-api.ecb.europa.eu/service/data/EXR/A.CAD.EUR.SP00.A?startPeriod=2021&amp;endPeriod=2021&amp;format=csvdata</x:v>
      </x:c>
      <x:c r="M51" s="14" t="str">
        <x:v>computed</x:v>
      </x:c>
      <x:c r="N51" s="14" t="str">
        <x:v>original_amount_divided_by_ecb_annual_average</x:v>
      </x:c>
    </x:row>
    <x:row r="52" ht="25.5" customHeight="1">
      <x:c r="A52" s="14" t="str">
        <x:v>market_observation</x:v>
      </x:c>
      <x:c r="B52" s="14" t="str">
        <x:v>CA-2021-HC-GAS-CONVENIENCE-VAPING-SALES-BENCHMARK</x:v>
      </x:c>
      <x:c r="C52" s="14" t="str">
        <x:v>institutional_channel_value_benchmark</x:v>
      </x:c>
      <x:c r="D52" s="14" t="str">
        <x:v>Canada</x:v>
      </x:c>
      <x:c r="E52" s="14" t="n">
        <x:v>2021</x:v>
      </x:c>
      <x:c r="F52" s="14" t="str">
        <x:v>calendar_year</x:v>
      </x:c>
      <x:c r="G52" s="45" t="n">
        <x:v>631000000</x:v>
      </x:c>
      <x:c r="H52" s="45" t="str">
        <x:v>CAD</x:v>
      </x:c>
      <x:c r="I52" s="45" t="n">
        <x:v>1.4825689922481</x:v>
      </x:c>
      <x:c r="J52" s="45" t="n">
        <x:f>G52/I52</x:f>
        <x:v>425612570.67921025</x:v>
      </x:c>
      <x:c r="K52" s="14" t="str">
        <x:v>ECB-EXR-A-CAD-EUR-SP00-A-2021</x:v>
      </x:c>
      <x:c r="L52" s="14" t="str">
        <x:v>https://data-api.ecb.europa.eu/service/data/EXR/A.CAD.EUR.SP00.A?startPeriod=2021&amp;endPeriod=2021&amp;format=csvdata</x:v>
      </x:c>
      <x:c r="M52" s="14" t="str">
        <x:v>computed</x:v>
      </x:c>
      <x:c r="N52" s="14" t="str">
        <x:v>original_amount_divided_by_ecb_annual_average</x:v>
      </x:c>
    </x:row>
    <x:row r="53" ht="25.5" customHeight="1">
      <x:c r="A53" s="14" t="str">
        <x:v>market_observation</x:v>
      </x:c>
      <x:c r="B53" s="14" t="str">
        <x:v>CA-2021-HC-ONLINE-VAPING-SALES-BENCHMARK</x:v>
      </x:c>
      <x:c r="C53" s="14" t="str">
        <x:v>institutional_channel_value_benchmark</x:v>
      </x:c>
      <x:c r="D53" s="14" t="str">
        <x:v>Canada</x:v>
      </x:c>
      <x:c r="E53" s="14" t="n">
        <x:v>2021</x:v>
      </x:c>
      <x:c r="F53" s="14" t="str">
        <x:v>calendar_year</x:v>
      </x:c>
      <x:c r="G53" s="45" t="n">
        <x:v>436000000</x:v>
      </x:c>
      <x:c r="H53" s="45" t="str">
        <x:v>CAD</x:v>
      </x:c>
      <x:c r="I53" s="45" t="n">
        <x:v>1.4825689922481</x:v>
      </x:c>
      <x:c r="J53" s="45" t="n">
        <x:f>G53/I53</x:f>
        <x:v>294084121.73714054</x:v>
      </x:c>
      <x:c r="K53" s="14" t="str">
        <x:v>ECB-EXR-A-CAD-EUR-SP00-A-2021</x:v>
      </x:c>
      <x:c r="L53" s="14" t="str">
        <x:v>https://data-api.ecb.europa.eu/service/data/EXR/A.CAD.EUR.SP00.A?startPeriod=2021&amp;endPeriod=2021&amp;format=csvdata</x:v>
      </x:c>
      <x:c r="M53" s="14" t="str">
        <x:v>computed</x:v>
      </x:c>
      <x:c r="N53" s="14" t="str">
        <x:v>original_amount_divided_by_ecb_annual_average</x:v>
      </x:c>
    </x:row>
    <x:row r="54" ht="25.5" customHeight="1">
      <x:c r="A54" s="14" t="str">
        <x:v>market_observation</x:v>
      </x:c>
      <x:c r="B54" s="14" t="str">
        <x:v>DE-2024-EUROSTAT-20595980-SOLD-PRODUCTION-EUR</x:v>
      </x:c>
      <x:c r="C54" s="14" t="str">
        <x:v>prodcom_20595980_sold_production_value</x:v>
      </x:c>
      <x:c r="D54" s="14" t="str">
        <x:v>Germany</x:v>
      </x:c>
      <x:c r="E54" s="14" t="n">
        <x:v>2024</x:v>
      </x:c>
      <x:c r="F54" s="14" t="str">
        <x:v>calendar_year</x:v>
      </x:c>
      <x:c r="G54" s="45" t="n">
        <x:v>39078000</x:v>
      </x:c>
      <x:c r="H54" s="45" t="str">
        <x:v>EUR</x:v>
      </x:c>
      <x:c r="I54" s="45" t="n">
        <x:v>1</x:v>
      </x:c>
      <x:c r="J54" s="45" t="n">
        <x:f>G54</x:f>
        <x:v>39078000</x:v>
      </x:c>
      <x:c r="K54" s="14" t="str">
        <x:v>EUR-IDENTITY</x:v>
      </x:c>
      <x:c r="L54" s="14" t="str">
        <x:v>https://www.ecb.europa.eu/stats/policy_and_exchange_rates/euro_reference_exchange_rates/html/index.en.html</x:v>
      </x:c>
      <x:c r="M54" s="14" t="str">
        <x:v>already_eur</x:v>
      </x:c>
      <x:c r="N54" s="14" t="str">
        <x:v>original_currency_already_eur</x:v>
      </x:c>
    </x:row>
    <x:row r="55" ht="25.5" customHeight="1">
      <x:c r="A55" s="14" t="str">
        <x:v>market_observation</x:v>
      </x:c>
      <x:c r="B55" s="14" t="str">
        <x:v>DE-2024-EUROSTAT-20595980-IMPORTS-EUR</x:v>
      </x:c>
      <x:c r="C55" s="14" t="str">
        <x:v>prodcom_20595980_import_value</x:v>
      </x:c>
      <x:c r="D55" s="14" t="str">
        <x:v>Germany</x:v>
      </x:c>
      <x:c r="E55" s="14" t="n">
        <x:v>2024</x:v>
      </x:c>
      <x:c r="F55" s="14" t="str">
        <x:v>calendar_year</x:v>
      </x:c>
      <x:c r="G55" s="45" t="n">
        <x:v>400843037</x:v>
      </x:c>
      <x:c r="H55" s="45" t="str">
        <x:v>EUR</x:v>
      </x:c>
      <x:c r="I55" s="45" t="n">
        <x:v>1</x:v>
      </x:c>
      <x:c r="J55" s="45" t="n">
        <x:f>G55</x:f>
        <x:v>400843037</x:v>
      </x:c>
      <x:c r="K55" s="14" t="str">
        <x:v>EUR-IDENTITY</x:v>
      </x:c>
      <x:c r="L55" s="14" t="str">
        <x:v>https://www.ecb.europa.eu/stats/policy_and_exchange_rates/euro_reference_exchange_rates/html/index.en.html</x:v>
      </x:c>
      <x:c r="M55" s="14" t="str">
        <x:v>already_eur</x:v>
      </x:c>
      <x:c r="N55" s="14" t="str">
        <x:v>original_currency_already_eur</x:v>
      </x:c>
    </x:row>
    <x:row r="56" ht="25.5" customHeight="1">
      <x:c r="A56" s="14" t="str">
        <x:v>market_observation</x:v>
      </x:c>
      <x:c r="B56" s="14" t="str">
        <x:v>DE-2024-EUROSTAT-20595980-EXPORTS-EUR</x:v>
      </x:c>
      <x:c r="C56" s="14" t="str">
        <x:v>prodcom_20595980_export_value</x:v>
      </x:c>
      <x:c r="D56" s="14" t="str">
        <x:v>Germany</x:v>
      </x:c>
      <x:c r="E56" s="14" t="n">
        <x:v>2024</x:v>
      </x:c>
      <x:c r="F56" s="14" t="str">
        <x:v>calendar_year</x:v>
      </x:c>
      <x:c r="G56" s="45" t="n">
        <x:v>120676188</x:v>
      </x:c>
      <x:c r="H56" s="45" t="str">
        <x:v>EUR</x:v>
      </x:c>
      <x:c r="I56" s="45" t="n">
        <x:v>1</x:v>
      </x:c>
      <x:c r="J56" s="45" t="n">
        <x:f>G56</x:f>
        <x:v>120676188</x:v>
      </x:c>
      <x:c r="K56" s="14" t="str">
        <x:v>EUR-IDENTITY</x:v>
      </x:c>
      <x:c r="L56" s="14" t="str">
        <x:v>https://www.ecb.europa.eu/stats/policy_and_exchange_rates/euro_reference_exchange_rates/html/index.en.html</x:v>
      </x:c>
      <x:c r="M56" s="14" t="str">
        <x:v>already_eur</x:v>
      </x:c>
      <x:c r="N56" s="14" t="str">
        <x:v>original_currency_already_eur</x:v>
      </x:c>
    </x:row>
    <x:row r="57" ht="25.5" customHeight="1">
      <x:c r="A57" s="14" t="str">
        <x:v>market_observation</x:v>
      </x:c>
      <x:c r="B57" s="14" t="str">
        <x:v>DE-2024-EUROSTAT-27901152-SOLD-PRODUCTION-EUR</x:v>
      </x:c>
      <x:c r="C57" s="14" t="str">
        <x:v>prodcom_27901152_sold_production_value</x:v>
      </x:c>
      <x:c r="D57" s="14" t="str">
        <x:v>Germany</x:v>
      </x:c>
      <x:c r="E57" s="14" t="n">
        <x:v>2024</x:v>
      </x:c>
      <x:c r="F57" s="14" t="str">
        <x:v>calendar_year</x:v>
      </x:c>
      <x:c r="G57" s="45" t="n">
        <x:v>99890000</x:v>
      </x:c>
      <x:c r="H57" s="45" t="str">
        <x:v>EUR</x:v>
      </x:c>
      <x:c r="I57" s="45" t="n">
        <x:v>1</x:v>
      </x:c>
      <x:c r="J57" s="45" t="n">
        <x:f>G57</x:f>
        <x:v>99890000</x:v>
      </x:c>
      <x:c r="K57" s="14" t="str">
        <x:v>EUR-IDENTITY</x:v>
      </x:c>
      <x:c r="L57" s="14" t="str">
        <x:v>https://www.ecb.europa.eu/stats/policy_and_exchange_rates/euro_reference_exchange_rates/html/index.en.html</x:v>
      </x:c>
      <x:c r="M57" s="14" t="str">
        <x:v>already_eur</x:v>
      </x:c>
      <x:c r="N57" s="14" t="str">
        <x:v>original_currency_already_eur</x:v>
      </x:c>
    </x:row>
    <x:row r="58" ht="25.5" customHeight="1">
      <x:c r="A58" s="14" t="str">
        <x:v>market_observation</x:v>
      </x:c>
      <x:c r="B58" s="14" t="str">
        <x:v>DE-2024-EUROSTAT-27901152-IMPORTS-EUR</x:v>
      </x:c>
      <x:c r="C58" s="14" t="str">
        <x:v>prodcom_27901152_import_value</x:v>
      </x:c>
      <x:c r="D58" s="14" t="str">
        <x:v>Germany</x:v>
      </x:c>
      <x:c r="E58" s="14" t="n">
        <x:v>2024</x:v>
      </x:c>
      <x:c r="F58" s="14" t="str">
        <x:v>calendar_year</x:v>
      </x:c>
      <x:c r="G58" s="45" t="n">
        <x:v>490580247</x:v>
      </x:c>
      <x:c r="H58" s="45" t="str">
        <x:v>EUR</x:v>
      </x:c>
      <x:c r="I58" s="45" t="n">
        <x:v>1</x:v>
      </x:c>
      <x:c r="J58" s="45" t="n">
        <x:f>G58</x:f>
        <x:v>490580247</x:v>
      </x:c>
      <x:c r="K58" s="14" t="str">
        <x:v>EUR-IDENTITY</x:v>
      </x:c>
      <x:c r="L58" s="14" t="str">
        <x:v>https://www.ecb.europa.eu/stats/policy_and_exchange_rates/euro_reference_exchange_rates/html/index.en.html</x:v>
      </x:c>
      <x:c r="M58" s="14" t="str">
        <x:v>already_eur</x:v>
      </x:c>
      <x:c r="N58" s="14" t="str">
        <x:v>original_currency_already_eur</x:v>
      </x:c>
    </x:row>
    <x:row r="59" ht="25.5" customHeight="1">
      <x:c r="A59" s="14" t="str">
        <x:v>market_observation</x:v>
      </x:c>
      <x:c r="B59" s="14" t="str">
        <x:v>DE-2024-EUROSTAT-27901152-EXPORTS-EUR</x:v>
      </x:c>
      <x:c r="C59" s="14" t="str">
        <x:v>prodcom_27901152_export_value</x:v>
      </x:c>
      <x:c r="D59" s="14" t="str">
        <x:v>Germany</x:v>
      </x:c>
      <x:c r="E59" s="14" t="n">
        <x:v>2024</x:v>
      </x:c>
      <x:c r="F59" s="14" t="str">
        <x:v>calendar_year</x:v>
      </x:c>
      <x:c r="G59" s="45" t="n">
        <x:v>301380538</x:v>
      </x:c>
      <x:c r="H59" s="45" t="str">
        <x:v>EUR</x:v>
      </x:c>
      <x:c r="I59" s="45" t="n">
        <x:v>1</x:v>
      </x:c>
      <x:c r="J59" s="45" t="n">
        <x:f>G59</x:f>
        <x:v>301380538</x:v>
      </x:c>
      <x:c r="K59" s="14" t="str">
        <x:v>EUR-IDENTITY</x:v>
      </x:c>
      <x:c r="L59" s="14" t="str">
        <x:v>https://www.ecb.europa.eu/stats/policy_and_exchange_rates/euro_reference_exchange_rates/html/index.en.html</x:v>
      </x:c>
      <x:c r="M59" s="14" t="str">
        <x:v>already_eur</x:v>
      </x:c>
      <x:c r="N59" s="14" t="str">
        <x:v>original_currency_already_eur</x:v>
      </x:c>
    </x:row>
    <x:row r="60" ht="25.5" customHeight="1">
      <x:c r="A60" s="14" t="str">
        <x:v>market_observation</x:v>
      </x:c>
      <x:c r="B60" s="14" t="str">
        <x:v>DE-2024-EUROSTAT-20595980-APPARENT-SUPPLY-EUR</x:v>
      </x:c>
      <x:c r="C60" s="14" t="str">
        <x:v>prodcom_20595980_apparent_supply_value</x:v>
      </x:c>
      <x:c r="D60" s="14" t="str">
        <x:v>Germany</x:v>
      </x:c>
      <x:c r="E60" s="14" t="n">
        <x:v>2024</x:v>
      </x:c>
      <x:c r="F60" s="14" t="str">
        <x:v>calendar_year</x:v>
      </x:c>
      <x:c r="G60" s="45" t="n">
        <x:v>319244849</x:v>
      </x:c>
      <x:c r="H60" s="45" t="str">
        <x:v>EUR</x:v>
      </x:c>
      <x:c r="I60" s="45" t="n">
        <x:v>1</x:v>
      </x:c>
      <x:c r="J60" s="45" t="n">
        <x:f>G60</x:f>
        <x:v>319244849</x:v>
      </x:c>
      <x:c r="K60" s="14" t="str">
        <x:v>EUR-IDENTITY</x:v>
      </x:c>
      <x:c r="L60" s="14" t="str">
        <x:v>https://www.ecb.europa.eu/stats/policy_and_exchange_rates/euro_reference_exchange_rates/html/index.en.html</x:v>
      </x:c>
      <x:c r="M60" s="14" t="str">
        <x:v>already_eur</x:v>
      </x:c>
      <x:c r="N60" s="14" t="str">
        <x:v>original_currency_already_eur</x:v>
      </x:c>
    </x:row>
    <x:row r="61" ht="25.5" customHeight="1">
      <x:c r="A61" s="14" t="str">
        <x:v>market_observation</x:v>
      </x:c>
      <x:c r="B61" s="14" t="str">
        <x:v>DE-2024-EUROSTAT-27901152-APPARENT-SUPPLY-EUR</x:v>
      </x:c>
      <x:c r="C61" s="14" t="str">
        <x:v>prodcom_27901152_apparent_supply_value</x:v>
      </x:c>
      <x:c r="D61" s="14" t="str">
        <x:v>Germany</x:v>
      </x:c>
      <x:c r="E61" s="14" t="n">
        <x:v>2024</x:v>
      </x:c>
      <x:c r="F61" s="14" t="str">
        <x:v>calendar_year</x:v>
      </x:c>
      <x:c r="G61" s="45" t="n">
        <x:v>289089709</x:v>
      </x:c>
      <x:c r="H61" s="45" t="str">
        <x:v>EUR</x:v>
      </x:c>
      <x:c r="I61" s="45" t="n">
        <x:v>1</x:v>
      </x:c>
      <x:c r="J61" s="45" t="n">
        <x:f>G61</x:f>
        <x:v>289089709</x:v>
      </x:c>
      <x:c r="K61" s="14" t="str">
        <x:v>EUR-IDENTITY</x:v>
      </x:c>
      <x:c r="L61" s="14" t="str">
        <x:v>https://www.ecb.europa.eu/stats/policy_and_exchange_rates/euro_reference_exchange_rates/html/index.en.html</x:v>
      </x:c>
      <x:c r="M61" s="14" t="str">
        <x:v>already_eur</x:v>
      </x:c>
      <x:c r="N61" s="14" t="str">
        <x:v>original_currency_already_eur</x:v>
      </x:c>
    </x:row>
    <x:row r="62" ht="25.5" customHeight="1">
      <x:c r="A62" s="14" t="str">
        <x:v>market_observation</x:v>
      </x:c>
      <x:c r="B62" s="14" t="str">
        <x:v>DE-2024-EUROSTAT-COMBINED-APPARENT-SUPPLY-EUR</x:v>
      </x:c>
      <x:c r="C62" s="14" t="str">
        <x:v>combined_prodcom_apparent_supply_value</x:v>
      </x:c>
      <x:c r="D62" s="14" t="str">
        <x:v>Germany</x:v>
      </x:c>
      <x:c r="E62" s="14" t="n">
        <x:v>2024</x:v>
      </x:c>
      <x:c r="F62" s="14" t="str">
        <x:v>calendar_year</x:v>
      </x:c>
      <x:c r="G62" s="45" t="n">
        <x:v>608334558</x:v>
      </x:c>
      <x:c r="H62" s="45" t="str">
        <x:v>EUR</x:v>
      </x:c>
      <x:c r="I62" s="45" t="n">
        <x:v>1</x:v>
      </x:c>
      <x:c r="J62" s="45" t="n">
        <x:f>G62</x:f>
        <x:v>608334558</x:v>
      </x:c>
      <x:c r="K62" s="14" t="str">
        <x:v>EUR-IDENTITY</x:v>
      </x:c>
      <x:c r="L62" s="14" t="str">
        <x:v>https://www.ecb.europa.eu/stats/policy_and_exchange_rates/euro_reference_exchange_rates/html/index.en.html</x:v>
      </x:c>
      <x:c r="M62" s="14" t="str">
        <x:v>already_eur</x:v>
      </x:c>
      <x:c r="N62" s="14" t="str">
        <x:v>original_currency_already_eur</x:v>
      </x:c>
    </x:row>
    <x:row r="63" ht="25.5" customHeight="1">
      <x:c r="A63" s="14" t="str">
        <x:v>market_observation</x:v>
      </x:c>
      <x:c r="B63" s="14" t="str">
        <x:v>DE-2024-EUROSTAT-APPARENT-SUPPLY-EXCISE-VAT-BRIDGE-EUR</x:v>
      </x:c>
      <x:c r="C63" s="14" t="str">
        <x:v>mechanical_apparent_supply_excise_vat_bridge</x:v>
      </x:c>
      <x:c r="D63" s="14" t="str">
        <x:v>Germany</x:v>
      </x:c>
      <x:c r="E63" s="14" t="n">
        <x:v>2024</x:v>
      </x:c>
      <x:c r="F63" s="14" t="str">
        <x:v>calendar_year</x:v>
      </x:c>
      <x:c r="G63" s="45" t="n">
        <x:v>1040458124.02</x:v>
      </x:c>
      <x:c r="H63" s="45" t="str">
        <x:v>EUR</x:v>
      </x:c>
      <x:c r="I63" s="45" t="n">
        <x:v>1</x:v>
      </x:c>
      <x:c r="J63" s="45" t="n">
        <x:f>G63</x:f>
        <x:v>1040458124.02</x:v>
      </x:c>
      <x:c r="K63" s="14" t="str">
        <x:v>EUR-IDENTITY</x:v>
      </x:c>
      <x:c r="L63" s="14" t="str">
        <x:v>https://www.ecb.europa.eu/stats/policy_and_exchange_rates/euro_reference_exchange_rates/html/index.en.html</x:v>
      </x:c>
      <x:c r="M63" s="14" t="str">
        <x:v>already_eur</x:v>
      </x:c>
      <x:c r="N63" s="14" t="str">
        <x:v>original_currency_already_eur</x:v>
      </x:c>
    </x:row>
    <x:row r="64" ht="25.5" customHeight="1">
      <x:c r="A64" s="14" t="str">
        <x:v>market_observation</x:v>
      </x:c>
      <x:c r="B64" s="14" t="str">
        <x:v>PL-2023-CMR-DISPOSABLE-E-CIGARETTE-RETAIL-SALES-VALUE</x:v>
      </x:c>
      <x:c r="C64" s="14" t="str">
        <x:v>commercial_disposable_e_cigarette_retail_sales_value</x:v>
      </x:c>
      <x:c r="D64" s="14" t="str">
        <x:v>Poland</x:v>
      </x:c>
      <x:c r="E64" s="14" t="n">
        <x:v>2023</x:v>
      </x:c>
      <x:c r="F64" s="14" t="str">
        <x:v>calendar_year</x:v>
      </x:c>
      <x:c r="G64" s="45" t="n">
        <x:v>2000000000</x:v>
      </x:c>
      <x:c r="H64" s="45" t="str">
        <x:v>PLN</x:v>
      </x:c>
      <x:c r="I64" s="45" t="n">
        <x:v>4.5419658823529</x:v>
      </x:c>
      <x:c r="J64" s="45" t="n">
        <x:f>G64/I64</x:f>
        <x:v>440337961.9760439</x:v>
      </x:c>
      <x:c r="K64" s="14" t="str">
        <x:v>ECB-EXR-A-PLN-EUR-SP00-A-2023</x:v>
      </x:c>
      <x:c r="L64" s="14" t="str">
        <x:v>https://data-api.ecb.europa.eu/service/data/EXR/A.PLN.EUR.SP00.A?startPeriod=2023&amp;endPeriod=2023&amp;format=csvdata</x:v>
      </x:c>
      <x:c r="M64" s="14" t="str">
        <x:v>computed</x:v>
      </x:c>
      <x:c r="N64" s="14" t="str">
        <x:v>original_amount_divided_by_ecb_annual_average</x:v>
      </x:c>
    </x:row>
    <x:row r="65" ht="25.5" customHeight="1">
      <x:c r="A65" s="14" t="str">
        <x:v>market_observation</x:v>
      </x:c>
      <x:c r="B65" s="14" t="str">
        <x:v>ES-2025-AEAT-M573-ALL-EPIGRAPHS-ACCRUED-EXCISE-LIABILITY-EUR</x:v>
      </x:c>
      <x:c r="C65" s="14" t="str">
        <x:v>accrued_excise_liability</x:v>
      </x:c>
      <x:c r="D65" s="14" t="str">
        <x:v>Spain</x:v>
      </x:c>
      <x:c r="E65" s="14" t="n">
        <x:v>2025</x:v>
      </x:c>
      <x:c r="F65" s="14" t="str">
        <x:v>calendar_year</x:v>
      </x:c>
      <x:c r="G65" s="45" t="n">
        <x:v>36151000</x:v>
      </x:c>
      <x:c r="H65" s="45" t="str">
        <x:v>EUR</x:v>
      </x:c>
      <x:c r="I65" s="45" t="n">
        <x:v>1</x:v>
      </x:c>
      <x:c r="J65" s="45" t="n">
        <x:f>G65</x:f>
        <x:v>36151000</x:v>
      </x:c>
      <x:c r="K65" s="14" t="str">
        <x:v>EUR-IDENTITY</x:v>
      </x:c>
      <x:c r="L65" s="14" t="str">
        <x:v>https://www.ecb.europa.eu/stats/policy_and_exchange_rates/euro_reference_exchange_rates/html/index.en.html</x:v>
      </x:c>
      <x:c r="M65" s="14" t="str">
        <x:v>already_eur</x:v>
      </x:c>
      <x:c r="N65" s="14" t="str">
        <x:v>original_currency_already_eur</x:v>
      </x:c>
    </x:row>
    <x:row r="66" ht="25.5" customHeight="1">
      <x:c r="A66" s="14" t="str">
        <x:v>market_observation</x:v>
      </x:c>
      <x:c r="B66" s="14" t="str">
        <x:v>ES-2025-AEAT-M573-ALL-EPIGRAPHS-GROSS-CASH-RECEIPTS-EUR</x:v>
      </x:c>
      <x:c r="C66" s="14" t="str">
        <x:v>gross_excise_cash_receipts</x:v>
      </x:c>
      <x:c r="D66" s="14" t="str">
        <x:v>Spain</x:v>
      </x:c>
      <x:c r="E66" s="14" t="n">
        <x:v>2025</x:v>
      </x:c>
      <x:c r="F66" s="14" t="str">
        <x:v>calendar_year</x:v>
      </x:c>
      <x:c r="G66" s="45" t="n">
        <x:v>31797000</x:v>
      </x:c>
      <x:c r="H66" s="45" t="str">
        <x:v>EUR</x:v>
      </x:c>
      <x:c r="I66" s="45" t="n">
        <x:v>1</x:v>
      </x:c>
      <x:c r="J66" s="45" t="n">
        <x:f>G66</x:f>
        <x:v>31797000</x:v>
      </x:c>
      <x:c r="K66" s="14" t="str">
        <x:v>EUR-IDENTITY</x:v>
      </x:c>
      <x:c r="L66" s="14" t="str">
        <x:v>https://www.ecb.europa.eu/stats/policy_and_exchange_rates/euro_reference_exchange_rates/html/index.en.html</x:v>
      </x:c>
      <x:c r="M66" s="14" t="str">
        <x:v>already_eur</x:v>
      </x:c>
      <x:c r="N66" s="14" t="str">
        <x:v>original_currency_already_eur</x:v>
      </x:c>
    </x:row>
    <x:row r="67" ht="25.5" customHeight="1">
      <x:c r="A67" s="14" t="str">
        <x:v>market_observation</x:v>
      </x:c>
      <x:c r="B67" s="14" t="str">
        <x:v>ES-2025-AEAT-M573-ALL-EPIGRAPHS-NET-CASH-RECEIPTS-EUR</x:v>
      </x:c>
      <x:c r="C67" s="14" t="str">
        <x:v>net_excise_cash_receipts</x:v>
      </x:c>
      <x:c r="D67" s="14" t="str">
        <x:v>Spain</x:v>
      </x:c>
      <x:c r="E67" s="14" t="n">
        <x:v>2025</x:v>
      </x:c>
      <x:c r="F67" s="14" t="str">
        <x:v>calendar_year</x:v>
      </x:c>
      <x:c r="G67" s="45" t="n">
        <x:v>29568000</x:v>
      </x:c>
      <x:c r="H67" s="45" t="str">
        <x:v>EUR</x:v>
      </x:c>
      <x:c r="I67" s="45" t="n">
        <x:v>1</x:v>
      </x:c>
      <x:c r="J67" s="45" t="n">
        <x:f>G67</x:f>
        <x:v>29568000</x:v>
      </x:c>
      <x:c r="K67" s="14" t="str">
        <x:v>EUR-IDENTITY</x:v>
      </x:c>
      <x:c r="L67" s="14" t="str">
        <x:v>https://www.ecb.europa.eu/stats/policy_and_exchange_rates/euro_reference_exchange_rates/html/index.en.html</x:v>
      </x:c>
      <x:c r="M67" s="14" t="str">
        <x:v>already_eur</x:v>
      </x:c>
      <x:c r="N67" s="14" t="str">
        <x:v>original_currency_already_eur</x:v>
      </x:c>
    </x:row>
    <x:row r="68" ht="25.5" customHeight="1">
      <x:c r="A68" s="14" t="str">
        <x:v>market_observation</x:v>
      </x:c>
      <x:c r="B68" s="14" t="str">
        <x:v>ES-2026-H1-AEAT-M573-ALL-EPIGRAPHS-GROSS-CASH-RECEIPTS-EUR</x:v>
      </x:c>
      <x:c r="C68" s="14" t="str">
        <x:v>gross_excise_cash_receipts</x:v>
      </x:c>
      <x:c r="D68" s="14" t="str">
        <x:v>Spain</x:v>
      </x:c>
      <x:c r="E68" s="14" t="n">
        <x:v>2026</x:v>
      </x:c>
      <x:c r="F68" s="14" t="str">
        <x:v>2026_h1</x:v>
      </x:c>
      <x:c r="G68" s="45" t="n">
        <x:v>25726000</x:v>
      </x:c>
      <x:c r="H68" s="45" t="str">
        <x:v>EUR</x:v>
      </x:c>
      <x:c r="I68" s="45" t="n">
        <x:v>1</x:v>
      </x:c>
      <x:c r="J68" s="45" t="n">
        <x:f>G68</x:f>
        <x:v>25726000</x:v>
      </x:c>
      <x:c r="K68" s="14" t="str">
        <x:v>EUR-IDENTITY</x:v>
      </x:c>
      <x:c r="L68" s="14" t="str">
        <x:v>https://www.ecb.europa.eu/stats/policy_and_exchange_rates/euro_reference_exchange_rates/html/index.en.html</x:v>
      </x:c>
      <x:c r="M68" s="14" t="str">
        <x:v>already_eur</x:v>
      </x:c>
      <x:c r="N68" s="14" t="str">
        <x:v>original_currency_already_eur</x:v>
      </x:c>
    </x:row>
    <x:row r="69" ht="25.5" customHeight="1">
      <x:c r="A69" s="14" t="str">
        <x:v>market_observation</x:v>
      </x:c>
      <x:c r="B69" s="14" t="str">
        <x:v>ES-2026-H1-AEAT-M573-ALL-EPIGRAPHS-NET-CASH-RECEIPTS-EUR</x:v>
      </x:c>
      <x:c r="C69" s="14" t="str">
        <x:v>net_excise_cash_receipts</x:v>
      </x:c>
      <x:c r="D69" s="14" t="str">
        <x:v>Spain</x:v>
      </x:c>
      <x:c r="E69" s="14" t="n">
        <x:v>2026</x:v>
      </x:c>
      <x:c r="F69" s="14" t="str">
        <x:v>2026_h1</x:v>
      </x:c>
      <x:c r="G69" s="45" t="n">
        <x:v>21776000</x:v>
      </x:c>
      <x:c r="H69" s="45" t="str">
        <x:v>EUR</x:v>
      </x:c>
      <x:c r="I69" s="45" t="n">
        <x:v>1</x:v>
      </x:c>
      <x:c r="J69" s="45" t="n">
        <x:f>G69</x:f>
        <x:v>21776000</x:v>
      </x:c>
      <x:c r="K69" s="14" t="str">
        <x:v>EUR-IDENTITY</x:v>
      </x:c>
      <x:c r="L69" s="14" t="str">
        <x:v>https://www.ecb.europa.eu/stats/policy_and_exchange_rates/euro_reference_exchange_rates/html/index.en.html</x:v>
      </x:c>
      <x:c r="M69" s="14" t="str">
        <x:v>already_eur</x:v>
      </x:c>
      <x:c r="N69" s="14" t="str">
        <x:v>original_currency_already_eur</x:v>
      </x:c>
    </x:row>
    <x:row r="70" ht="25.5" customHeight="1">
      <x:c r="A70" s="14" t="str">
        <x:v>market_observation</x:v>
      </x:c>
      <x:c r="B70" s="14" t="str">
        <x:v>JP-2022-854340000-E-CIGARETTE-DEVICE-IMPORT-CIF-VALUE-JPY</x:v>
      </x:c>
      <x:c r="C70" s="14" t="str">
        <x:v>e_cigarette_device_customs_import_cif_value</x:v>
      </x:c>
      <x:c r="D70" s="14" t="str">
        <x:v>Japan</x:v>
      </x:c>
      <x:c r="E70" s="14" t="n">
        <x:v>2022</x:v>
      </x:c>
      <x:c r="F70" s="14" t="str">
        <x:v>calendar_year</x:v>
      </x:c>
      <x:c r="G70" s="45" t="n">
        <x:v>70257202000</x:v>
      </x:c>
      <x:c r="H70" s="45" t="str">
        <x:v>JPY</x:v>
      </x:c>
      <x:c r="I70" s="45" t="n">
        <x:v>138.027392996109</x:v>
      </x:c>
      <x:c r="J70" s="45" t="n">
        <x:f>G70/I70</x:f>
        <x:v>509009121.12409854</x:v>
      </x:c>
      <x:c r="K70" s="14" t="str">
        <x:v>ECB-EXR-A-JPY-EUR-SP00-A-2022</x:v>
      </x:c>
      <x:c r="L70" s="14" t="str">
        <x:v>https://data-api.ecb.europa.eu/service/data/EXR/A.JPY.EUR.SP00.A?startPeriod=2022&amp;endPeriod=2022&amp;format=csvdata</x:v>
      </x:c>
      <x:c r="M70" s="14" t="str">
        <x:v>computed</x:v>
      </x:c>
      <x:c r="N70" s="14" t="str">
        <x:v>original_amount_divided_by_ecb_annual_average</x:v>
      </x:c>
    </x:row>
    <x:row r="71" ht="25.5" customHeight="1">
      <x:c r="A71" s="14" t="str">
        <x:v>market_observation</x:v>
      </x:c>
      <x:c r="B71" s="14" t="str">
        <x:v>JP-2023-854340000-E-CIGARETTE-DEVICE-IMPORT-CIF-VALUE-JPY</x:v>
      </x:c>
      <x:c r="C71" s="14" t="str">
        <x:v>e_cigarette_device_customs_import_cif_value</x:v>
      </x:c>
      <x:c r="D71" s="14" t="str">
        <x:v>Japan</x:v>
      </x:c>
      <x:c r="E71" s="14" t="n">
        <x:v>2023</x:v>
      </x:c>
      <x:c r="F71" s="14" t="str">
        <x:v>calendar_year</x:v>
      </x:c>
      <x:c r="G71" s="45" t="n">
        <x:v>70496284000</x:v>
      </x:c>
      <x:c r="H71" s="45" t="str">
        <x:v>JPY</x:v>
      </x:c>
      <x:c r="I71" s="45" t="n">
        <x:v>151.9902745098038</x:v>
      </x:c>
      <x:c r="J71" s="45" t="n">
        <x:f>G71/I71</x:f>
        <x:v>463821018.99192756</x:v>
      </x:c>
      <x:c r="K71" s="14" t="str">
        <x:v>ECB-EXR-A-JPY-EUR-SP00-A-2023</x:v>
      </x:c>
      <x:c r="L71" s="14" t="str">
        <x:v>https://data-api.ecb.europa.eu/service/data/EXR/A.JPY.EUR.SP00.A?startPeriod=2023&amp;endPeriod=2023&amp;format=csvdata</x:v>
      </x:c>
      <x:c r="M71" s="14" t="str">
        <x:v>computed</x:v>
      </x:c>
      <x:c r="N71" s="14" t="str">
        <x:v>original_amount_divided_by_ecb_annual_average</x:v>
      </x:c>
    </x:row>
    <x:row r="72" ht="25.5" customHeight="1">
      <x:c r="A72" s="14" t="str">
        <x:v>market_observation</x:v>
      </x:c>
      <x:c r="B72" s="14" t="str">
        <x:v>JP-2024-854340000-E-CIGARETTE-DEVICE-IMPORT-CIF-VALUE-JPY</x:v>
      </x:c>
      <x:c r="C72" s="14" t="str">
        <x:v>e_cigarette_device_customs_import_cif_value</x:v>
      </x:c>
      <x:c r="D72" s="14" t="str">
        <x:v>Japan</x:v>
      </x:c>
      <x:c r="E72" s="14" t="n">
        <x:v>2024</x:v>
      </x:c>
      <x:c r="F72" s="14" t="str">
        <x:v>calendar_year</x:v>
      </x:c>
      <x:c r="G72" s="45" t="n">
        <x:v>74526020000</x:v>
      </x:c>
      <x:c r="H72" s="45" t="str">
        <x:v>JPY</x:v>
      </x:c>
      <x:c r="I72" s="45" t="n">
        <x:v>163.8519140625</x:v>
      </x:c>
      <x:c r="J72" s="45" t="n">
        <x:f>G72/I72</x:f>
        <x:v>454837652.80625683</x:v>
      </x:c>
      <x:c r="K72" s="14" t="str">
        <x:v>ECB-EXR-A-JPY-EUR-SP00-A-2024</x:v>
      </x:c>
      <x:c r="L72" s="14" t="str">
        <x:v>https://data-api.ecb.europa.eu/service/data/EXR/A.JPY.EUR.SP00.A?startPeriod=2024&amp;endPeriod=2024&amp;format=csvdata</x:v>
      </x:c>
      <x:c r="M72" s="14" t="str">
        <x:v>computed</x:v>
      </x:c>
      <x:c r="N72" s="14" t="str">
        <x:v>original_amount_divided_by_ecb_annual_average</x:v>
      </x:c>
    </x:row>
    <x:row r="73" ht="25.5" customHeight="1">
      <x:c r="A73" s="14" t="str">
        <x:v>market_observation</x:v>
      </x:c>
      <x:c r="B73" s="14" t="str">
        <x:v>JP-2025-854340000-E-CIGARETTE-DEVICE-IMPORT-CIF-VALUE-JPY</x:v>
      </x:c>
      <x:c r="C73" s="14" t="str">
        <x:v>e_cigarette_device_customs_import_cif_value</x:v>
      </x:c>
      <x:c r="D73" s="14" t="str">
        <x:v>Japan</x:v>
      </x:c>
      <x:c r="E73" s="14" t="n">
        <x:v>2025</x:v>
      </x:c>
      <x:c r="F73" s="14" t="str">
        <x:v>calendar_year</x:v>
      </x:c>
      <x:c r="G73" s="45" t="n">
        <x:v>84361341000</x:v>
      </x:c>
      <x:c r="H73" s="45" t="str">
        <x:v>JPY</x:v>
      </x:c>
      <x:c r="I73" s="45" t="n">
        <x:v>169.0434509803921</x:v>
      </x:c>
      <x:c r="J73" s="45" t="n">
        <x:f>G73/I73</x:f>
        <x:v>499051223.2845113</x:v>
      </x:c>
      <x:c r="K73" s="14" t="str">
        <x:v>ECB-EXR-A-JPY-EUR-SP00-A-2025</x:v>
      </x:c>
      <x:c r="L73" s="14" t="str">
        <x:v>https://data-api.ecb.europa.eu/service/data/EXR/A.JPY.EUR.SP00.A?startPeriod=2025&amp;endPeriod=2025&amp;format=csvdata</x:v>
      </x:c>
      <x:c r="M73" s="14" t="str">
        <x:v>computed</x:v>
      </x:c>
      <x:c r="N73" s="14" t="str">
        <x:v>original_amount_divided_by_ecb_annual_average</x:v>
      </x:c>
    </x:row>
    <x:row r="74" ht="25.5" customHeight="1">
      <x:c r="A74" s="14" t="str">
        <x:v>scenario_component</x:v>
      </x:c>
      <x:c r="B74" s="14" t="str">
        <x:v>NZ-2024-RETAIL-RANGE</x:v>
      </x:c>
      <x:c r="C74" s="14" t="str">
        <x:v>low.specialistRetailNzd</x:v>
      </x:c>
      <x:c r="D74" s="14" t="str">
        <x:v>New Zealand</x:v>
      </x:c>
      <x:c r="E74" s="14" t="n">
        <x:v>2024</x:v>
      </x:c>
      <x:c r="F74" s="14" t="str">
        <x:v>calendar_year</x:v>
      </x:c>
      <x:c r="G74" s="45" t="n">
        <x:v>258327110.88</x:v>
      </x:c>
      <x:c r="H74" s="45" t="str">
        <x:v>NZD</x:v>
      </x:c>
      <x:c r="I74" s="45" t="n">
        <x:v>1.788048828125</x:v>
      </x:c>
      <x:c r="J74" s="45" t="n">
        <x:f>G74/I74</x:f>
        <x:v>144474304.51375833</x:v>
      </x:c>
      <x:c r="K74" s="14" t="str">
        <x:v>ECB-EXR-A-NZD-EUR-SP00-A-2024</x:v>
      </x:c>
      <x:c r="L74" s="14" t="str">
        <x:v>https://data-api.ecb.europa.eu/service/data/EXR/A.NZD.EUR.SP00.A?startPeriod=2024&amp;endPeriod=2024&amp;format=csvdata</x:v>
      </x:c>
      <x:c r="M74" s="14" t="str">
        <x:v>computed</x:v>
      </x:c>
      <x:c r="N74" s="14" t="str">
        <x:v>original_amount_divided_by_ecb_annual_average</x:v>
      </x:c>
    </x:row>
    <x:row r="75" ht="25.5" customHeight="1">
      <x:c r="A75" s="14" t="str">
        <x:v>scenario_component</x:v>
      </x:c>
      <x:c r="B75" s="14" t="str">
        <x:v>NZ-2024-RETAIL-RANGE</x:v>
      </x:c>
      <x:c r="C75" s="14" t="str">
        <x:v>low.generalRetailRpsNzd</x:v>
      </x:c>
      <x:c r="D75" s="14" t="str">
        <x:v>New Zealand</x:v>
      </x:c>
      <x:c r="E75" s="14" t="n">
        <x:v>2024</x:v>
      </x:c>
      <x:c r="F75" s="14" t="str">
        <x:v>calendar_year</x:v>
      </x:c>
      <x:c r="G75" s="45" t="n">
        <x:v>275335272.8</x:v>
      </x:c>
      <x:c r="H75" s="45" t="str">
        <x:v>NZD</x:v>
      </x:c>
      <x:c r="I75" s="45" t="n">
        <x:v>1.788048828125</x:v>
      </x:c>
      <x:c r="J75" s="45" t="n">
        <x:f>G75/I75</x:f>
        <x:v>153986439.55865824</x:v>
      </x:c>
      <x:c r="K75" s="14" t="str">
        <x:v>ECB-EXR-A-NZD-EUR-SP00-A-2024</x:v>
      </x:c>
      <x:c r="L75" s="14" t="str">
        <x:v>https://data-api.ecb.europa.eu/service/data/EXR/A.NZD.EUR.SP00.A?startPeriod=2024&amp;endPeriod=2024&amp;format=csvdata</x:v>
      </x:c>
      <x:c r="M75" s="14" t="str">
        <x:v>computed</x:v>
      </x:c>
      <x:c r="N75" s="14" t="str">
        <x:v>original_amount_divided_by_ecb_annual_average</x:v>
      </x:c>
    </x:row>
    <x:row r="76" ht="25.5" customHeight="1">
      <x:c r="A76" s="14" t="str">
        <x:v>scenario_component</x:v>
      </x:c>
      <x:c r="B76" s="14" t="str">
        <x:v>NZ-2024-RETAIL-RANGE</x:v>
      </x:c>
      <x:c r="C76" s="14" t="str">
        <x:v>low.combinedNzd</x:v>
      </x:c>
      <x:c r="D76" s="14" t="str">
        <x:v>New Zealand</x:v>
      </x:c>
      <x:c r="E76" s="14" t="n">
        <x:v>2024</x:v>
      </x:c>
      <x:c r="F76" s="14" t="str">
        <x:v>calendar_year</x:v>
      </x:c>
      <x:c r="G76" s="45" t="n">
        <x:v>533662383.68</x:v>
      </x:c>
      <x:c r="H76" s="45" t="str">
        <x:v>NZD</x:v>
      </x:c>
      <x:c r="I76" s="45" t="n">
        <x:v>1.788048828125</x:v>
      </x:c>
      <x:c r="J76" s="45" t="n">
        <x:f>G76/I76</x:f>
        <x:v>298460744.0724166</x:v>
      </x:c>
      <x:c r="K76" s="14" t="str">
        <x:v>ECB-EXR-A-NZD-EUR-SP00-A-2024</x:v>
      </x:c>
      <x:c r="L76" s="14" t="str">
        <x:v>https://data-api.ecb.europa.eu/service/data/EXR/A.NZD.EUR.SP00.A?startPeriod=2024&amp;endPeriod=2024&amp;format=csvdata</x:v>
      </x:c>
      <x:c r="M76" s="14" t="str">
        <x:v>computed</x:v>
      </x:c>
      <x:c r="N76" s="14" t="str">
        <x:v>original_amount_divided_by_ecb_annual_average</x:v>
      </x:c>
    </x:row>
    <x:row r="77" ht="25.5" customHeight="1">
      <x:c r="A77" s="14" t="str">
        <x:v>scenario_component</x:v>
      </x:c>
      <x:c r="B77" s="14" t="str">
        <x:v>NZ-2024-RETAIL-RANGE</x:v>
      </x:c>
      <x:c r="C77" s="14" t="str">
        <x:v>base.specialistRetailNzd</x:v>
      </x:c>
      <x:c r="D77" s="14" t="str">
        <x:v>New Zealand</x:v>
      </x:c>
      <x:c r="E77" s="14" t="n">
        <x:v>2024</x:v>
      </x:c>
      <x:c r="F77" s="14" t="str">
        <x:v>calendar_year</x:v>
      </x:c>
      <x:c r="G77" s="45" t="n">
        <x:v>274180410.21</x:v>
      </x:c>
      <x:c r="H77" s="45" t="str">
        <x:v>NZD</x:v>
      </x:c>
      <x:c r="I77" s="45" t="n">
        <x:v>1.788048828125</x:v>
      </x:c>
      <x:c r="J77" s="45" t="n">
        <x:f>G77/I77</x:f>
        <x:v>153340560.89369413</x:v>
      </x:c>
      <x:c r="K77" s="14" t="str">
        <x:v>ECB-EXR-A-NZD-EUR-SP00-A-2024</x:v>
      </x:c>
      <x:c r="L77" s="14" t="str">
        <x:v>https://data-api.ecb.europa.eu/service/data/EXR/A.NZD.EUR.SP00.A?startPeriod=2024&amp;endPeriod=2024&amp;format=csvdata</x:v>
      </x:c>
      <x:c r="M77" s="14" t="str">
        <x:v>computed</x:v>
      </x:c>
      <x:c r="N77" s="14" t="str">
        <x:v>original_amount_divided_by_ecb_annual_average</x:v>
      </x:c>
    </x:row>
    <x:row r="78" ht="25.5" customHeight="1">
      <x:c r="A78" s="14" t="str">
        <x:v>scenario_component</x:v>
      </x:c>
      <x:c r="B78" s="14" t="str">
        <x:v>NZ-2024-RETAIL-RANGE</x:v>
      </x:c>
      <x:c r="C78" s="14" t="str">
        <x:v>base.generalRetailRpsNzd</x:v>
      </x:c>
      <x:c r="D78" s="14" t="str">
        <x:v>New Zealand</x:v>
      </x:c>
      <x:c r="E78" s="14" t="n">
        <x:v>2024</x:v>
      </x:c>
      <x:c r="F78" s="14" t="str">
        <x:v>calendar_year</x:v>
      </x:c>
      <x:c r="G78" s="45" t="n">
        <x:v>367631277.68</x:v>
      </x:c>
      <x:c r="H78" s="45" t="str">
        <x:v>NZD</x:v>
      </x:c>
      <x:c r="I78" s="45" t="n">
        <x:v>1.788048828125</x:v>
      </x:c>
      <x:c r="J78" s="45" t="n">
        <x:f>G78/I78</x:f>
        <x:v>205604719.4558489</x:v>
      </x:c>
      <x:c r="K78" s="14" t="str">
        <x:v>ECB-EXR-A-NZD-EUR-SP00-A-2024</x:v>
      </x:c>
      <x:c r="L78" s="14" t="str">
        <x:v>https://data-api.ecb.europa.eu/service/data/EXR/A.NZD.EUR.SP00.A?startPeriod=2024&amp;endPeriod=2024&amp;format=csvdata</x:v>
      </x:c>
      <x:c r="M78" s="14" t="str">
        <x:v>computed</x:v>
      </x:c>
      <x:c r="N78" s="14" t="str">
        <x:v>original_amount_divided_by_ecb_annual_average</x:v>
      </x:c>
    </x:row>
    <x:row r="79" ht="25.5" customHeight="1">
      <x:c r="A79" s="14" t="str">
        <x:v>scenario_component</x:v>
      </x:c>
      <x:c r="B79" s="14" t="str">
        <x:v>NZ-2024-RETAIL-RANGE</x:v>
      </x:c>
      <x:c r="C79" s="14" t="str">
        <x:v>base.combinedNzd</x:v>
      </x:c>
      <x:c r="D79" s="14" t="str">
        <x:v>New Zealand</x:v>
      </x:c>
      <x:c r="E79" s="14" t="n">
        <x:v>2024</x:v>
      </x:c>
      <x:c r="F79" s="14" t="str">
        <x:v>calendar_year</x:v>
      </x:c>
      <x:c r="G79" s="45" t="n">
        <x:v>641811687.89</x:v>
      </x:c>
      <x:c r="H79" s="45" t="str">
        <x:v>NZD</x:v>
      </x:c>
      <x:c r="I79" s="45" t="n">
        <x:v>1.788048828125</x:v>
      </x:c>
      <x:c r="J79" s="45" t="n">
        <x:f>G79/I79</x:f>
        <x:v>358945280.34954304</x:v>
      </x:c>
      <x:c r="K79" s="14" t="str">
        <x:v>ECB-EXR-A-NZD-EUR-SP00-A-2024</x:v>
      </x:c>
      <x:c r="L79" s="14" t="str">
        <x:v>https://data-api.ecb.europa.eu/service/data/EXR/A.NZD.EUR.SP00.A?startPeriod=2024&amp;endPeriod=2024&amp;format=csvdata</x:v>
      </x:c>
      <x:c r="M79" s="14" t="str">
        <x:v>computed</x:v>
      </x:c>
      <x:c r="N79" s="14" t="str">
        <x:v>original_amount_divided_by_ecb_annual_average</x:v>
      </x:c>
    </x:row>
    <x:row r="80" ht="25.5" customHeight="1">
      <x:c r="A80" s="14" t="str">
        <x:v>scenario_component</x:v>
      </x:c>
      <x:c r="B80" s="14" t="str">
        <x:v>NZ-2024-RETAIL-RANGE</x:v>
      </x:c>
      <x:c r="C80" s="14" t="str">
        <x:v>high.specialistRetailNzd</x:v>
      </x:c>
      <x:c r="D80" s="14" t="str">
        <x:v>New Zealand</x:v>
      </x:c>
      <x:c r="E80" s="14" t="n">
        <x:v>2024</x:v>
      </x:c>
      <x:c r="F80" s="14" t="str">
        <x:v>calendar_year</x:v>
      </x:c>
      <x:c r="G80" s="45" t="n">
        <x:v>274180410.21</x:v>
      </x:c>
      <x:c r="H80" s="45" t="str">
        <x:v>NZD</x:v>
      </x:c>
      <x:c r="I80" s="45" t="n">
        <x:v>1.788048828125</x:v>
      </x:c>
      <x:c r="J80" s="45" t="n">
        <x:f>G80/I80</x:f>
        <x:v>153340560.89369413</x:v>
      </x:c>
      <x:c r="K80" s="14" t="str">
        <x:v>ECB-EXR-A-NZD-EUR-SP00-A-2024</x:v>
      </x:c>
      <x:c r="L80" s="14" t="str">
        <x:v>https://data-api.ecb.europa.eu/service/data/EXR/A.NZD.EUR.SP00.A?startPeriod=2024&amp;endPeriod=2024&amp;format=csvdata</x:v>
      </x:c>
      <x:c r="M80" s="14" t="str">
        <x:v>computed</x:v>
      </x:c>
      <x:c r="N80" s="14" t="str">
        <x:v>original_amount_divided_by_ecb_annual_average</x:v>
      </x:c>
    </x:row>
    <x:row r="81" ht="25.5" customHeight="1">
      <x:c r="A81" s="14" t="str">
        <x:v>scenario_component</x:v>
      </x:c>
      <x:c r="B81" s="14" t="str">
        <x:v>NZ-2024-RETAIL-RANGE</x:v>
      </x:c>
      <x:c r="C81" s="14" t="str">
        <x:v>high.generalRetailRpsNzd</x:v>
      </x:c>
      <x:c r="D81" s="14" t="str">
        <x:v>New Zealand</x:v>
      </x:c>
      <x:c r="E81" s="14" t="n">
        <x:v>2024</x:v>
      </x:c>
      <x:c r="F81" s="14" t="str">
        <x:v>calendar_year</x:v>
      </x:c>
      <x:c r="G81" s="45" t="n">
        <x:v>456995382.29</x:v>
      </x:c>
      <x:c r="H81" s="45" t="str">
        <x:v>NZD</x:v>
      </x:c>
      <x:c r="I81" s="45" t="n">
        <x:v>1.788048828125</x:v>
      </x:c>
      <x:c r="J81" s="45" t="n">
        <x:f>G81/I81</x:f>
        <x:v>255583278.88015154</x:v>
      </x:c>
      <x:c r="K81" s="14" t="str">
        <x:v>ECB-EXR-A-NZD-EUR-SP00-A-2024</x:v>
      </x:c>
      <x:c r="L81" s="14" t="str">
        <x:v>https://data-api.ecb.europa.eu/service/data/EXR/A.NZD.EUR.SP00.A?startPeriod=2024&amp;endPeriod=2024&amp;format=csvdata</x:v>
      </x:c>
      <x:c r="M81" s="14" t="str">
        <x:v>computed</x:v>
      </x:c>
      <x:c r="N81" s="14" t="str">
        <x:v>original_amount_divided_by_ecb_annual_average</x:v>
      </x:c>
    </x:row>
    <x:row r="82" ht="25.5" customHeight="1">
      <x:c r="A82" s="14" t="str">
        <x:v>scenario_component</x:v>
      </x:c>
      <x:c r="B82" s="14" t="str">
        <x:v>NZ-2024-RETAIL-RANGE</x:v>
      </x:c>
      <x:c r="C82" s="14" t="str">
        <x:v>high.combinedNzd</x:v>
      </x:c>
      <x:c r="D82" s="14" t="str">
        <x:v>New Zealand</x:v>
      </x:c>
      <x:c r="E82" s="14" t="n">
        <x:v>2024</x:v>
      </x:c>
      <x:c r="F82" s="14" t="str">
        <x:v>calendar_year</x:v>
      </x:c>
      <x:c r="G82" s="45" t="n">
        <x:v>731175792.5</x:v>
      </x:c>
      <x:c r="H82" s="45" t="str">
        <x:v>NZD</x:v>
      </x:c>
      <x:c r="I82" s="45" t="n">
        <x:v>1.788048828125</x:v>
      </x:c>
      <x:c r="J82" s="45" t="n">
        <x:f>G82/I82</x:f>
        <x:v>408923839.7738457</x:v>
      </x:c>
      <x:c r="K82" s="14" t="str">
        <x:v>ECB-EXR-A-NZD-EUR-SP00-A-2024</x:v>
      </x:c>
      <x:c r="L82" s="14" t="str">
        <x:v>https://data-api.ecb.europa.eu/service/data/EXR/A.NZD.EUR.SP00.A?startPeriod=2024&amp;endPeriod=2024&amp;format=csvdata</x:v>
      </x:c>
      <x:c r="M82" s="14" t="str">
        <x:v>computed</x:v>
      </x:c>
      <x:c r="N82" s="14" t="str">
        <x:v>original_amount_divided_by_ecb_annual_average</x:v>
      </x:c>
    </x:row>
    <x:row r="83" ht="25.5" customHeight="1">
      <x:c r="A83" s="14" t="str">
        <x:v>model</x:v>
      </x:c>
      <x:c r="B83" s="14" t="str">
        <x:v>DE-2025-LIQUID-RETAIL-EQUIVALENT-RANGE</x:v>
      </x:c>
      <x:c r="C83" s="14" t="str">
        <x:v>low</x:v>
      </x:c>
      <x:c r="D83" s="14"/>
      <x:c r="E83" s="14" t="n">
        <x:v>2025</x:v>
      </x:c>
      <x:c r="F83" s="14" t="str">
        <x:v>calendar_year</x:v>
      </x:c>
      <x:c r="G83" s="45" t="n">
        <x:v>667920000</x:v>
      </x:c>
      <x:c r="H83" s="45" t="str">
        <x:v>EUR</x:v>
      </x:c>
      <x:c r="I83" s="45" t="n">
        <x:v>1</x:v>
      </x:c>
      <x:c r="J83" s="45" t="n">
        <x:f>G83</x:f>
        <x:v>667920000</x:v>
      </x:c>
      <x:c r="K83" s="14" t="str">
        <x:v>EUR-IDENTITY</x:v>
      </x:c>
      <x:c r="L83" s="14" t="str">
        <x:v>https://www.ecb.europa.eu/stats/policy_and_exchange_rates/euro_reference_exchange_rates/html/index.en.html</x:v>
      </x:c>
      <x:c r="M83" s="14" t="str">
        <x:v>already_eur</x:v>
      </x:c>
      <x:c r="N83" s="14" t="str">
        <x:v>original_currency_already_eur</x:v>
      </x:c>
    </x:row>
    <x:row r="84" ht="25.5" customHeight="1">
      <x:c r="A84" s="14" t="str">
        <x:v>model</x:v>
      </x:c>
      <x:c r="B84" s="14" t="str">
        <x:v>DE-2025-LIQUID-RETAIL-EQUIVALENT-RANGE</x:v>
      </x:c>
      <x:c r="C84" s="14" t="str">
        <x:v>central</x:v>
      </x:c>
      <x:c r="D84" s="14"/>
      <x:c r="E84" s="14" t="n">
        <x:v>2025</x:v>
      </x:c>
      <x:c r="F84" s="14" t="str">
        <x:v>calendar_year</x:v>
      </x:c>
      <x:c r="G84" s="45" t="n">
        <x:v>1199220000</x:v>
      </x:c>
      <x:c r="H84" s="45" t="str">
        <x:v>EUR</x:v>
      </x:c>
      <x:c r="I84" s="45" t="n">
        <x:v>1</x:v>
      </x:c>
      <x:c r="J84" s="45" t="n">
        <x:f>G84</x:f>
        <x:v>1199220000</x:v>
      </x:c>
      <x:c r="K84" s="14" t="str">
        <x:v>EUR-IDENTITY</x:v>
      </x:c>
      <x:c r="L84" s="14" t="str">
        <x:v>https://www.ecb.europa.eu/stats/policy_and_exchange_rates/euro_reference_exchange_rates/html/index.en.html</x:v>
      </x:c>
      <x:c r="M84" s="14" t="str">
        <x:v>already_eur</x:v>
      </x:c>
      <x:c r="N84" s="14" t="str">
        <x:v>original_currency_already_eur</x:v>
      </x:c>
    </x:row>
    <x:row r="85" ht="25.5" customHeight="1">
      <x:c r="A85" s="15" t="str">
        <x:v>model</x:v>
      </x:c>
      <x:c r="B85" s="15" t="str">
        <x:v>DE-2025-LIQUID-RETAIL-EQUIVALENT-RANGE</x:v>
      </x:c>
      <x:c r="C85" s="15" t="str">
        <x:v>high</x:v>
      </x:c>
      <x:c r="D85" s="15"/>
      <x:c r="E85" s="15" t="n">
        <x:v>2025</x:v>
      </x:c>
      <x:c r="F85" s="15" t="str">
        <x:v>calendar_year</x:v>
      </x:c>
      <x:c r="G85" s="46" t="n">
        <x:v>1654620000</x:v>
      </x:c>
      <x:c r="H85" s="46" t="str">
        <x:v>EUR</x:v>
      </x:c>
      <x:c r="I85" s="46" t="n">
        <x:v>1</x:v>
      </x:c>
      <x:c r="J85" s="46" t="n">
        <x:f>G85</x:f>
        <x:v>1654620000</x:v>
      </x:c>
      <x:c r="K85" s="15" t="str">
        <x:v>EUR-IDENTITY</x:v>
      </x:c>
      <x:c r="L85" s="15" t="str">
        <x:v>https://www.ecb.europa.eu/stats/policy_and_exchange_rates/euro_reference_exchange_rates/html/index.en.html</x:v>
      </x:c>
      <x:c r="M85" s="15" t="str">
        <x:v>already_eur</x:v>
      </x:c>
      <x:c r="N8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e46feb816db34858"/>
  </x:tableParts>
</x:worksheet>
</file>