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29bd5044294a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ac01b668fec14551"/>
    <x:sheet xmlns:r="http://schemas.openxmlformats.org/officeDocument/2006/relationships" name="Yhteenveto" sheetId="2" r:id="R9457bcb3dba74471"/>
    <x:sheet xmlns:r="http://schemas.openxmlformats.org/officeDocument/2006/relationships" name="Tutkijan kysymykset" sheetId="3" r:id="R085be5525a8548b2"/>
    <x:sheet xmlns:r="http://schemas.openxmlformats.org/officeDocument/2006/relationships" name="Lähteet" sheetId="4" r:id="Rfad7af1819c84cc2"/>
    <x:sheet xmlns:r="http://schemas.openxmlformats.org/officeDocument/2006/relationships" name="Eurovastineet" sheetId="5" r:id="Ra630f39d2e0c4b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a5d5b520224c19" /><Relationship Type="http://schemas.openxmlformats.org/officeDocument/2006/relationships/theme" Target="/xl/theme/theme1.xml" Id="R132676c743f74ea0" /><Relationship Type="http://schemas.openxmlformats.org/officeDocument/2006/relationships/sharedStrings" Target="/xl/sharedStrings.xml" Id="Rc9925022e28b4e34" /><Relationship Type="http://schemas.openxmlformats.org/officeDocument/2006/relationships/worksheet" Target="/xl/worksheets/sheet1.xml" Id="Rac01b668fec14551" /><Relationship Type="http://schemas.openxmlformats.org/officeDocument/2006/relationships/worksheet" Target="/xl/worksheets/sheet2.xml" Id="R9457bcb3dba74471" /><Relationship Type="http://schemas.openxmlformats.org/officeDocument/2006/relationships/worksheet" Target="/xl/worksheets/sheet3.xml" Id="R085be5525a8548b2" /><Relationship Type="http://schemas.openxmlformats.org/officeDocument/2006/relationships/worksheet" Target="/xl/worksheets/sheet4.xml" Id="Rfad7af1819c84cc2" /><Relationship Type="http://schemas.openxmlformats.org/officeDocument/2006/relationships/worksheet" Target="/xl/worksheets/sheet5.xml" Id="Ra630f39d2e0c4b16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0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43c67e4b01747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9089116fb2543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b637f92296453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0f3619f67cc44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atlas sisältää muuttumattoman 195 maan tutkimusuniversumin.</x:v>
      </x:c>
      <x:c r="B10" s="14" t="str">
        <x:v>Markkinan rajaus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YK:n jäsenvaltiota + Pyhä istuin + Palestiinan valtio.</x:v>
      </x:c>
      <x:c r="G10" s="14" t="str">
        <x:v>Universumi on tutkimusrunko, ei todistettu markkinapeitto.</x:v>
      </x:c>
      <x:c r="H10" s="14" t="str">
        <x:v>Vahvistettu</x:v>
      </x:c>
      <x:c r="I10" s="14" t="str">
        <x:v>Ei puutetta universumin määrittelyssä; evidenssipeitto on erillinen asia.</x:v>
      </x:c>
    </x:row>
    <x:row r="11" ht="58.5" customHeight="1">
      <x:c r="A11" s="14" t="str">
        <x:v>Julkinen markkina-aineisto sisältää 79 havaintoa 21 lähteestä; 70 virallista havaintoa jakautuvat 34 markkinamittariin ja 36 Ruotsin FHM-rekisterirakenteen lukuun.</x:v>
      </x:c>
      <x:c r="B11" s="14" t="str">
        <x:v>Markkinakoko</x:v>
      </x:c>
      <x:c r="C11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1" s="14" t="str">
        <x:v>site/data/market-values.json (julkisen sivuston koneellisesti luettava lähdetiedosto)</x:v>
      </x:c>
      <x:c r="E11" s="14" t="str">
        <x:v>2026-07-24</x:v>
      </x:c>
      <x:c r="F11" s="14" t="str">
        <x:v>79 = 43 aiempaa havaintoa + 36 FHM-rakennelukua; 70 virallista = 34 markkinamittaria + 36 rakennelukua. Luokat pidetään erillään eikä niitä summata markkinaksi.</x:v>
      </x:c>
      <x:c r="G11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2026-07-24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58.5" customHeight="1">
      <x:c r="A15" s="14" t="str">
        <x:v>Varovainen tekstiluokitus tunnistaa Uuden-Seelannin vuoden 2024 sähkötupakkatuoterivien raakasummaksi 274 180 410,21 NZD.</x:v>
      </x:c>
      <x:c r="B15" s="14" t="str">
        <x:v>Markkinan koko</x:v>
      </x:c>
      <x:c r="C15" s="14" t="str">
        <x:v>Viereisiksi ilmoitusvelvollisiksi tuotteiksi tunnistettiin 2 137 085,24 NZD ja ratkaisemattomaksi tuotetyypiksi 4 367 017,37 NZD. Sähkötupakkarivien toistorivien poistamisen herkkyys on 258 327 110,88 NZD, mutta se ei ole korjattu estimaatti.</x:v>
      </x:c>
      <x:c r="D15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5" s="14" t="str">
        <x:v>2026-07-24</x:v>
      </x:c>
      <x:c r="F15" s="14" t="str">
        <x:v>Konservatiivinen Product type -tekstiluokitus virallisten XLSX-tiedostojen tuoteriveille; luokittelu- ja toistoriviherkkyys raportoidaan erikseen.</x:v>
      </x:c>
      <x:c r="G15" s="14" t="str">
        <x:v>Tuotetyyppikentän virheet ja ratkaisemattomat rivit estävät kattavan sähkötupakkamarkkinan tulkinnan.</x:v>
      </x:c>
      <x:c r="H15" s="14" t="str">
        <x:v>Tuettu</x:v>
      </x:c>
      <x:c r="I15" s="14" t="str">
        <x:v>Hanki viranomaisen tuotekoodisanasto, toistorivien semantiikka, täydellinen kanavapeitto ja GST-perusta. Luku ei kelpaa luovuttajaksi.</x:v>
      </x:c>
    </x:row>
    <x:row r="16" ht="93" customHeight="1">
      <x:c r="A16" s="14" t="str">
        <x:v>Uuden-Seelannin vuoden 2024 tunnistetun sähkötupakkavähittäismyynnin tuettu herkkyysväli on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</x:v>
      </x:c>
      <x:c r="E16" s="14" t="str">
        <x:v>2026-07-24</x:v>
      </x:c>
      <x:c r="F16" s="17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2026-07-24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site/data/country-scenarios.json</x:v>
      </x:c>
      <x:c r="E19" s="14" t="str">
        <x:v>2026-07-24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Statistics Canada -sarja sisältää seitsemän koko vuoden kuluttajavähittäismyyntiestimaattia 2019–2025; vuoden 2024 arvo on 1 219 160 000 CAD.</x:v>
      </x:c>
      <x:c r="B21" s="14" t="str">
        <x:v>Markkinakoko</x:v>
      </x:c>
      <x:c r="C21" s="14" t="str">
        <x:v>Vuosisumma on neljän RCS-vuosineljänneksen summa NAPCS 5619122 -tuoteryhmälle. Health Canadan vuoden 2024 valmistaja-/maahantuojatoimitusarvo on 1 160 753 796,78 CAD.</x:v>
      </x:c>
      <x:c r="D21" s="14" t="str">
        <x:v>https://www150.statcan.gc.ca/t1/tbl1/en/tv.action?pid=2010007101 ; https://health-infobase.canada.ca/substance-use/vaping/sales/ ; source/CANADA_RCS_2019_2025_RETAIL_SALES.md</x:v>
      </x:c>
      <x:c r="E21" s="14" t="str">
        <x:v>2026-07-24</x:v>
      </x:c>
      <x:c r="F21" s="14" t="str">
        <x:v>1 219 160 000 − 1 160 753 796,78 = 58 406 203,22 CAD; RCS / Health Canada = 1,0503175 eli +5,03 %.</x:v>
      </x:c>
      <x:c r="G21" s="14" t="str">
        <x:v>Kaikilla vuoden 2024 neljänneksillä on E-laatuvaroitus. Sähkötupakkakohtaista kanavapeittoa ei ole määrällistetty eikä valmisteveroperustaa vahvistettu.</x:v>
      </x:c>
      <x:c r="H21" s="14" t="str">
        <x:v>Tuettu</x:v>
      </x:c>
      <x:c r="I21" s="14" t="str">
        <x:v>Retail–toimitus-silta ei vielä selitä katetta, varastoa, palautuksia, ajoitusta, tuoterajausta eikä verokäsittelyä; Kanada ei ole hyväksytty donor.</x:v>
      </x:c>
    </x:row>
    <x:row r="22" ht="58.5" customHeight="1">
      <x:c r="A22" s="14" t="str">
        <x:v>Kanadan vuoden 2024 raportoidut toimitukset sisälsivät 1 251 843 litraa nestettä.</x:v>
      </x:c>
      <x:c r="B22" s="14" t="str">
        <x:v>Markkinan koko</x:v>
      </x:c>
      <x:c r="C22" s="14" t="str">
        <x:v>Höyrystettävää ainetta sisältävien tuoteryhmien ilmoitettu määrä. Se on fyysinen määrä, ei vähittäismarkkina-arvo.</x:v>
      </x:c>
      <x:c r="D22" s="14" t="str">
        <x:v>https://health-infobase.canada.ca/substance-use/vaping/sales/</x:v>
      </x:c>
      <x:c r="E22" s="14" t="str">
        <x:v>2024</x:v>
      </x:c>
      <x:c r="F22" s="14" t="str">
        <x:v>Raportoitujen nestettä sisältävien tuoteryhmien summa.</x:v>
      </x:c>
      <x:c r="G22" s="14" t="str">
        <x:v>Fyysinen määrä, ei markkina-arvo.</x:v>
      </x:c>
      <x:c r="H22" s="14" t="str">
        <x:v>Vahvistettu</x:v>
      </x:c>
      <x:c r="I22" s="14" t="str">
        <x:v>Tarvitaan tuotemixin, keskihinnan ja vähittäiskanavan tiedot.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Puolassa raportoitu sähkötupakkanesteiden määrä oli 805 441 litraa vuonna 2023.</x:v>
      </x:c>
      <x:c r="B27" s="14" t="str">
        <x:v>Markkinan koko</x:v>
      </x:c>
      <x:c r="C27" s="14" t="str">
        <x:v>Virallisessa parlamenttivastauksessa ilmoitettu nestemäärä. Se on fyysinen määrä, ei sisällä laitteiden arvoa eikä ole havaittu vähittäismarkkina-arvo.</x:v>
      </x:c>
      <x:c r="D27" s="14" t="str">
        <x:v>https://api.sejm.gov.pl/sejm/term10/interpellations/attachment/ATTDDEJZ5/i07255-o1.pdf</x:v>
      </x:c>
      <x:c r="E27" s="14" t="str">
        <x:v>2023</x:v>
      </x:c>
      <x:c r="F27" s="14" t="str">
        <x:v>Parlamentaariseen vastaukseen raportoitu määrä.</x:v>
      </x:c>
      <x:c r="G27" s="14" t="str">
        <x:v>Mittarin kattavuus on luettava alkuperäislähteen rajauksin.</x:v>
      </x:c>
      <x:c r="H27" s="14" t="str">
        <x:v>Vahvistettu</x:v>
      </x:c>
      <x:c r="I27" s="14" t="str">
        <x:v>Tarvitaan uudempi vuosisarja ja vähittäisarvo.</x:v>
      </x:c>
    </x:row>
    <x:row r="28" ht="58.5" customHeight="1">
      <x:c r="A28" s="14" t="str">
        <x:v>Puolan vuoden 2025 ilmoitettu e-nestevalmisteveron määrä oli 993,1 milj. PLN.</x:v>
      </x:c>
      <x:c r="B28" s="14" t="str">
        <x:v>Markkinan koko</x:v>
      </x:c>
      <x:c r="C28" s="14" t="str">
        <x:v>Virallisessa parlamenttivastauksessa ilmoitettu veromäärä. Se ei ole myyntituloa eikä vähittäismarkkina-arvoa, ja se pidetään erillään laitteiden ja osasarjojen veromääristä.</x:v>
      </x:c>
      <x:c r="D28" s="14" t="str">
        <x:v>https://api.sejm.gov.pl/sejm/term10/interpellations/attachment/ATTDVKHSJ/i17526-o1.pdf</x:v>
      </x:c>
      <x:c r="E28" s="14" t="str">
        <x:v>2025</x:v>
      </x:c>
      <x:c r="F28" s="14" t="str">
        <x:v>Parlamentaariseen vastaukseen raportoitu veromäärä.</x:v>
      </x:c>
      <x:c r="G28" s="14" t="str">
        <x:v>Veromäärä ei ole vähittäismyynti.</x:v>
      </x:c>
      <x:c r="H28" s="14" t="str">
        <x:v>Vahvistettu</x:v>
      </x:c>
      <x:c r="I28" s="14" t="str">
        <x:v>Tarvitaan toteuman lopullisuus ja veropohjan täsmäytys.</x:v>
      </x:c>
    </x:row>
    <x:row r="29" ht="58.5" customHeight="1">
      <x:c r="A29" s="14" t="str">
        <x:v>Ruotsin julkinen evidenssi yhdistää vuoden 2024 veroankkurin ja 36 virallista FHM-rekisterirakenteen lukua vuosilta 2018–2026; rekisteriluvut eivät ole myyntiä tai markkina-arvoa.</x:v>
      </x:c>
      <x:c r="B29" s="14" t="str">
        <x:v>Markkinakoko</x:v>
      </x:c>
      <x:c r="C29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29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29" s="14" t="str">
        <x:v>2026-07-24</x:v>
      </x:c>
      <x:c r="F29" s="14" t="str">
        <x:v>36 = 9 vuotta (2018–2026) × 4 rekisterirakenteen mittaria. Veroankkuri, 34 markkinamittaria ja 36 rakennelukua pidetään erillään.</x:v>
      </x:c>
      <x:c r="G29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29" s="14" t="str">
        <x:v>Vahvistettu</x:v>
      </x:c>
      <x:c r="I29" s="14" t="str">
        <x:v>Tarvitaan toteutunut kuluttajamyynti EUR-määräisenä, laitekappaleet ja ml-määrät sekä julkisesti uudelleenkäytettävä numeerinen FHM-sarja.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2026-07-24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3c67e4b017479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2026.07.24-22</x:v>
      </x:c>
    </x:row>
    <x:row r="6" ht="20.25" customHeight="1">
      <x:c r="A6" s="29" t="str">
        <x:v>Päivitetty</x:v>
      </x:c>
      <x:c r="B6" s="14" t="str">
        <x:v>2026-07-24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29</x:v>
      </x:c>
    </x:row>
    <x:row r="12" ht="20.25" customHeight="1">
      <x:c r="A12" s="37" t="str">
        <x:v>Tuettu</x:v>
      </x:c>
      <x:c r="B12" s="14" t="n">
        <x:f>COUNTIF('Evidence Register'!$H$2:$H$54,A12)</x:f>
        <x:v>11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99089116fb25439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2026-07-24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2026-07-24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2026-07-24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2026-07-24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2026-07-24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2026-07-24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2026-07-24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2026-07-24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2026-07-24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2026-07-24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2026-07-24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2026-07-24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2026-07-24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2026-07-24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2026-07-24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2026-07-24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2026-07-24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2026-07-24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2026-07-24</x:v>
      </x:c>
    </x:row>
    <x:row r="72" ht="31.5" customHeight="1">
      <x:c r="A72" s="14" t="str">
        <x:v>REGISTER-REFERENCE-32690599750D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https://data-api.ecb.europa.eu/service/data/EXR/A.USD.EUR.SP00.A?startPeriod=2025&amp;endPeriod=2025&amp;format=csvdata</x:v>
      </x:c>
      <x:c r="E72" s="14" t="str">
        <x:v>2026-07-24</x:v>
      </x:c>
    </x:row>
    <x:row r="73" ht="31.5" customHeight="1">
      <x:c r="A73" s="14" t="str">
        <x:v>REGISTER-REFERENCE-9B93C76EF890</x:v>
      </x:c>
      <x:c r="B73" s="14" t="str">
        <x:v>data.ecb.europa.eu</x:v>
      </x:c>
      <x:c r="C73" s="14" t="str">
        <x:v>register_reference</x:v>
      </x:c>
      <x:c r="D73" s="14" t="str">
        <x:v>https://data.ecb.europa.eu/data/datasets/exr/data-information</x:v>
      </x:c>
      <x:c r="E73" s="14" t="str">
        <x:v>2026-07-24</x:v>
      </x:c>
    </x:row>
    <x:row r="74" ht="31.5" customHeight="1">
      <x:c r="A74" s="14" t="str">
        <x:v>REGISTER-REFERENCE-50ED634F402A</x:v>
      </x:c>
      <x:c r="B74" s="14" t="str">
        <x:v>ecb.europa.eu</x:v>
      </x:c>
      <x:c r="C74" s="14" t="str">
        <x:v>register_reference</x:v>
      </x:c>
      <x:c r="D74" s="14" t="str">
        <x:v>https://www.ecb.europa.eu/stats/policy_and_exchange_rates/euro_reference_exchange_rates/html/index.en.html</x:v>
      </x:c>
      <x:c r="E74" s="14" t="str">
        <x:v>2026-07-24</x:v>
      </x:c>
    </x:row>
    <x:row r="75" ht="31.5" customHeight="1">
      <x:c r="A75" s="14" t="str">
        <x:v>SE-FHM-PUBLIC-RECORD-RESPONSE-2026-07-24</x:v>
      </x:c>
      <x:c r="B75" s="14" t="str">
        <x:v>Public Health Agency of Sweden</x:v>
      </x:c>
      <x:c r="C75" s="14" t="str">
        <x:v>official_reference</x:v>
      </x:c>
      <x:c r="D75" s="14" t="str">
        <x:v>https://www.folkhalsomyndigheten.se/regler-och-tillsyn/tobak-och-nikotinprodukter-regler-for-tillverkning-handel-och-hantering/elektroniska-cigaretter-och-pafyllningsbehallare-sa-foljer-du-reglerna/</x:v>
      </x:c>
      <x:c r="E75" s="14" t="str">
        <x:v>2026-07-24</x:v>
      </x:c>
    </x:row>
    <x:row r="76" ht="31.5" customHeight="1">
      <x:c r="A76" s="14" t="str">
        <x:v>US-FTC-E-CIGARETTE-REPORT-2015-2018</x:v>
      </x:c>
      <x:c r="B76" s="14" t="str">
        <x:v>Federal Trade Commission</x:v>
      </x:c>
      <x:c r="C76" s="14" t="str">
        <x:v>official_report</x:v>
      </x:c>
      <x:c r="D76" s="14" t="str">
        <x:v>https://www.ftc.gov/reports/e-cigarette-report-2015-2018</x:v>
      </x:c>
      <x:c r="E76" s="14" t="str">
        <x:v>2026-07-24</x:v>
      </x:c>
    </x:row>
    <x:row r="77" ht="31.5" customHeight="1">
      <x:c r="A77" s="14" t="str">
        <x:v>US-FTC-E-CIGARETTE-REPORT-2021</x:v>
      </x:c>
      <x:c r="B77" s="14" t="str">
        <x:v>Federal Trade Commission</x:v>
      </x:c>
      <x:c r="C77" s="14" t="str">
        <x:v>official_report</x:v>
      </x:c>
      <x:c r="D77" s="14" t="str">
        <x:v>https://www.ftc.gov/reports/e-cigarette-report-2021</x:v>
      </x:c>
      <x:c r="E77" s="14" t="str">
        <x:v>2026-07-24</x:v>
      </x:c>
    </x:row>
    <x:row r="78" ht="31.5" customHeight="1">
      <x:c r="A78" s="14" t="str">
        <x:v>UN-MEMBER-STATES</x:v>
      </x:c>
      <x:c r="B78" s="14" t="str">
        <x:v>United Nations</x:v>
      </x:c>
      <x:c r="C78" s="14" t="str">
        <x:v>official_reference</x:v>
      </x:c>
      <x:c r="D78" s="14" t="str">
        <x:v>https://www.un.org/en/about-us/member-states</x:v>
      </x:c>
      <x:c r="E78" s="14" t="str">
        <x:v>2026-07-24</x:v>
      </x:c>
    </x:row>
    <x:row r="79" ht="31.5" customHeight="1">
      <x:c r="A79" s="14" t="str">
        <x:v>UN-NON-MEMBER-STATES</x:v>
      </x:c>
      <x:c r="B79" s="14" t="str">
        <x:v>United Nations</x:v>
      </x:c>
      <x:c r="C79" s="14" t="str">
        <x:v>official_reference</x:v>
      </x:c>
      <x:c r="D79" s="14" t="str">
        <x:v>https://www.un.org/en/about-us/non-member-states</x:v>
      </x:c>
      <x:c r="E79" s="14" t="str">
        <x:v>2026-07-24</x:v>
      </x:c>
    </x:row>
    <x:row r="80" ht="31.5" customHeight="1">
      <x:c r="A80" s="15" t="str">
        <x:v>REGISTER-REFERENCE-3332B0031C1D</x:v>
      </x:c>
      <x:c r="B80" s="15" t="str">
        <x:v>www150.statcan.gc.ca</x:v>
      </x:c>
      <x:c r="C80" s="15" t="str">
        <x:v>register_reference</x:v>
      </x:c>
      <x:c r="D80" s="15" t="str">
        <x:v>https://www150.statcan.gc.ca/t1/tbl1/en/tv.action?pid=2010007101</x:v>
      </x:c>
      <x:c r="E80" s="15" t="str">
        <x:v>2026-07-24</x:v>
      </x:c>
    </x:row>
  </x:sheetData>
  <x:pageMargins left="0.7" right="0.7" top="0.75" bottom="0.75" header="0.3" footer="0.3"/>
  <x:tableParts count="1">
    <x:tablePart xmlns:r="http://schemas.openxmlformats.org/officeDocument/2006/relationships" r:id="R31b637f92296453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10f3619f67cc4484"/>
  </x:tableParts>
</x:worksheet>
</file>