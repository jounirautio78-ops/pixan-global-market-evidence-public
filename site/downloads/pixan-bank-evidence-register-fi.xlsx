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8df5d16d3f4c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d6b5ab7867574097"/>
    <x:sheet xmlns:r="http://schemas.openxmlformats.org/officeDocument/2006/relationships" name="Yhteenveto" sheetId="2" r:id="R5076fed3b7614897"/>
    <x:sheet xmlns:r="http://schemas.openxmlformats.org/officeDocument/2006/relationships" name="Tutkijan kysymykset" sheetId="3" r:id="R8a1f085f61b54e98"/>
    <x:sheet xmlns:r="http://schemas.openxmlformats.org/officeDocument/2006/relationships" name="Lähteet" sheetId="4" r:id="R81ac2e9ea3404516"/>
    <x:sheet xmlns:r="http://schemas.openxmlformats.org/officeDocument/2006/relationships" name="Eurovastineet" sheetId="5" r:id="Re752d0bb70ee41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00ebda88a241c2" /><Relationship Type="http://schemas.openxmlformats.org/officeDocument/2006/relationships/theme" Target="/xl/theme/theme1.xml" Id="Rc4a7a91fa7604e44" /><Relationship Type="http://schemas.openxmlformats.org/officeDocument/2006/relationships/sharedStrings" Target="/xl/sharedStrings.xml" Id="R2bfc1cefa7f340cb" /><Relationship Type="http://schemas.openxmlformats.org/officeDocument/2006/relationships/worksheet" Target="/xl/worksheets/sheet1.xml" Id="Rd6b5ab7867574097" /><Relationship Type="http://schemas.openxmlformats.org/officeDocument/2006/relationships/worksheet" Target="/xl/worksheets/sheet2.xml" Id="R5076fed3b7614897" /><Relationship Type="http://schemas.openxmlformats.org/officeDocument/2006/relationships/worksheet" Target="/xl/worksheets/sheet3.xml" Id="R8a1f085f61b54e98" /><Relationship Type="http://schemas.openxmlformats.org/officeDocument/2006/relationships/worksheet" Target="/xl/worksheets/sheet4.xml" Id="R81ac2e9ea3404516" /><Relationship Type="http://schemas.openxmlformats.org/officeDocument/2006/relationships/worksheet" Target="/xl/worksheets/sheet5.xml" Id="Re752d0bb70ee4157" /></Relationships>
</file>

<file path=xl/tables/table1.xml><?xml version="1.0" encoding="utf-8"?>
<x:table xmlns:x="http://schemas.openxmlformats.org/spreadsheetml/2006/main" id="1" name="EvidenceRegisterFI" displayName="EvidenceRegisterFI" ref="A1:I54" headerRowCount="1" totalsRowCount="0" totalsRowShown="0">
  <x:autoFilter ref="A1:I54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79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468af55f1a048b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6322b30c6ef4fa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3adae9b0b1d446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d031557710e4a7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atlas sisältää muuttumattoman 195 maan tutkimusuniversumin.</x:v>
      </x:c>
      <x:c r="B10" s="14" t="str">
        <x:v>Markkinan rajaus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2026-07-24</x:v>
      </x:c>
      <x:c r="F10" s="14" t="str">
        <x:v>193 YK:n jäsenvaltiota + Pyhä istuin + Palestiinan valtio.</x:v>
      </x:c>
      <x:c r="G10" s="14" t="str">
        <x:v>Universumi on tutkimusrunko, ei todistettu markkinapeitto.</x:v>
      </x:c>
      <x:c r="H10" s="14" t="str">
        <x:v>Vahvistettu</x:v>
      </x:c>
      <x:c r="I10" s="14" t="str">
        <x:v>Ei puutetta universumin määrittelyssä; evidenssipeitto on erillinen asia.</x:v>
      </x:c>
    </x:row>
    <x:row r="11" ht="58.5" customHeight="1">
      <x:c r="A11" s="14" t="str">
        <x:v>Julkinen paketti sisältää 34 virallisista reiteistä johdettua vuosihavaintoa 7 maasta.</x:v>
      </x:c>
      <x:c r="B11" s="14" t="str">
        <x:v>Markkinakoko</x:v>
      </x:c>
      <x:c r="C11" s="14" t="str">
        <x:v>Maat ovat Kanada, Saksa, Suomi, Uusi-Seelanti, Puola, Ruotsi ja Yhdysvallat. Havaintojen transaktiotasot, valuutat ja tuoterajaukset eroavat.</x:v>
      </x:c>
      <x:c r="D11" s="14" t="str">
        <x:v>site/data/market-values.json (julkisen sivuston koneellisesti luettava lähdetiedosto)</x:v>
      </x:c>
      <x:c r="E11" s="14" t="str">
        <x:v>2026-07-24</x:v>
      </x:c>
      <x:c r="F11" s="14" t="str">
        <x:v>Niiden vuosihavaintojen määrä, joiden evidenceStatus alkaa official_-tunnisteella.</x:v>
      </x:c>
      <x:c r="G11" s="14" t="str">
        <x:v>Virallinen julkaisu ei tee mittareista automaattisesti yhteismitallisia.</x:v>
      </x:c>
      <x:c r="H11" s="14" t="str">
        <x:v>Vahvistettu</x:v>
      </x:c>
      <x:c r="I11" s="14" t="str">
        <x:v>Lisämaista tarvitaan yhteismitalliset vuotuiset laite- ja nestemäisen kuluttajavähittäisarvon sarjat.</x:v>
      </x:c>
    </x:row>
    <x:row r="12" ht="58.5" customHeight="1">
      <x:c r="A12" s="14" t="str">
        <x:v>Hyväksyttyjä virallisia koko vuoden kansallisia kuluttajavähittäisarvon luovuttajamarkkinoita on nolla.</x:v>
      </x:c>
      <x:c r="B12" s="14" t="str">
        <x:v>Markkinakoko</x:v>
      </x:c>
      <x:c r="C12" s="14" t="str">
        <x:v>comparableFullYearMarketValueDonors = 0. Viisi ehdokasta on julkaistu samaa kymmenen ehdon protokollaa vasten.</x:v>
      </x:c>
      <x:c r="D12" s="14" t="str">
        <x:v>site/data/market-values.json (modelReadiness, donorProtocol ja donorCandidates)</x:v>
      </x:c>
      <x:c r="E12" s="14" t="str">
        <x:v>2026-07-24</x:v>
      </x:c>
      <x:c r="F12" s="14" t="str">
        <x:v>Ehdokas tulee donor-lukuun vain, kun D1–D10 läpäisevät tarkistuksen; hylätty tai avoin ehto pitää sen luvun ulkopuolella.</x:v>
      </x:c>
      <x:c r="G12" s="14" t="str">
        <x:v>Virallisia alarajoja, institutionaalisia vertailuarvoja, toimitusarvoja, veroja, fyysisiä määriä ja malleja ei nimetä täydelliseksi kuluttajavähittäisarvoksi.</x:v>
      </x:c>
      <x:c r="H12" s="14" t="str">
        <x:v>Vahvistettu</x:v>
      </x:c>
      <x:c r="I12" s="14" t="str">
        <x:v>Tarvitaan vähintään kolme hyväksyttyä donoria sekä alue- ja sääntelytyyppien peitto.</x:v>
      </x:c>
    </x:row>
    <x:row r="13" ht="58.5" customHeight="1">
      <x:c r="A13" s="14" t="str">
        <x:v>Uuden-Seelannin vuoden 2024 erikoistuneiden sähkötupakkakauppiaiden myynniksi ilmoitettiin vähintään 280 milj. NZD.</x:v>
      </x:c>
      <x:c r="B13" s="14" t="str">
        <x:v>Markkinan koko</x:v>
      </x:c>
      <x:c r="C13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13" s="14" t="str">
        <x:v>https://www.health.govt.nz/regulation-legislation/vaping-herbal-smoking-and-smokeless-tobacco/requirements/complete-a-notifiable-product-annual-return/annual-returns-2024</x:v>
      </x:c>
      <x:c r="E13" s="14" t="str">
        <x:v>2024</x:v>
      </x:c>
      <x:c r="F13" s="14" t="str">
        <x:v>Virallista vähintään-otsikkolukua käytetään suoraan; ei ekstrapolointia eikä muiden palautustyyppien yhteenlaskua.</x:v>
      </x:c>
      <x:c r="G13" s="14" t="str">
        <x:v>Luku on alaraja, ei koko maan sähkötupakkamarkkinan arvo.</x:v>
      </x:c>
      <x:c r="H13" s="14" t="str">
        <x:v>Vahvistettu</x:v>
      </x:c>
      <x:c r="I13" s="14" t="str">
        <x:v>Hanki täydellinen valtakunnallinen vain sähkötupakkatuotteita koskeva vähittäiskaupan koonti, GST-perusta ja riippumaton täsmäytys.</x:v>
      </x:c>
    </x:row>
    <x:row r="14" ht="58.5" customHeight="1">
      <x:c r="A14" s="14" t="str">
        <x:v>Uuden-Seelannin 29 virallisen vuoden 2024 XLSX-tiedoston 612 765 numeerisen Total sales -solun raakasumma on 280 684 512,81 NZD.</x:v>
      </x:c>
      <x:c r="B14" s="14" t="str">
        <x:v>Markkinan koko</x:v>
      </x:c>
      <x:c r="C14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14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4" s="14" t="str">
        <x:v>2026-07-24</x:v>
      </x:c>
      <x:c r="F14" s="14" t="str">
        <x:v>Kaikkien 29 virallisen XLSX-tiedoston numeeristen Total sales -solujen suora summa; ei deduplikointia, puhdistusta tai ekstrapolointia.</x:v>
      </x:c>
      <x:c r="G14" s="14" t="str">
        <x:v>Toistuvat rivit säilytetään raakasummassa, koska niiden liiketoiminnallista merkitystä ei tunneta.</x:v>
      </x:c>
      <x:c r="H14" s="14" t="str">
        <x:v>Tuettu</x:v>
      </x:c>
      <x:c r="I14" s="14" t="str">
        <x:v>Raakasumma ei ole puhdistettu kansallinen markkina-arvo. Yleisvähittäiskauppa, puuttuvat ilmoitukset ja GST-käsittely ovat avoimia.</x:v>
      </x:c>
    </x:row>
    <x:row r="15" ht="58.5" customHeight="1">
      <x:c r="A15" s="14" t="str">
        <x:v>Varovainen tekstiluokitus tunnistaa Uuden-Seelannin vuoden 2024 sähkötupakkatuoterivien raakasummaksi 274 180 410,21 NZD.</x:v>
      </x:c>
      <x:c r="B15" s="14" t="str">
        <x:v>Markkinan koko</x:v>
      </x:c>
      <x:c r="C15" s="14" t="str">
        <x:v>Viereisiksi ilmoitusvelvollisiksi tuotteiksi tunnistettiin 2 137 085,24 NZD ja ratkaisemattomaksi tuotetyypiksi 4 367 017,37 NZD. Sähkötupakkarivien toistorivien poistamisen herkkyys on 258 327 110,88 NZD, mutta se ei ole korjattu estimaatti.</x:v>
      </x:c>
      <x:c r="D15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15" s="14" t="str">
        <x:v>2026-07-24</x:v>
      </x:c>
      <x:c r="F15" s="14" t="str">
        <x:v>Konservatiivinen Product type -tekstiluokitus virallisten XLSX-tiedostojen tuoteriveille; luokittelu- ja toistoriviherkkyys raportoidaan erikseen.</x:v>
      </x:c>
      <x:c r="G15" s="14" t="str">
        <x:v>Tuotetyyppikentän virheet ja ratkaisemattomat rivit estävät kattavan sähkötupakkamarkkinan tulkinnan.</x:v>
      </x:c>
      <x:c r="H15" s="14" t="str">
        <x:v>Tuettu</x:v>
      </x:c>
      <x:c r="I15" s="14" t="str">
        <x:v>Hanki viranomaisen tuotekoodisanasto, toistorivien semantiikka, täydellinen kanavapeitto ja GST-perusta. Luku ei kelpaa luovuttajaksi.</x:v>
      </x:c>
    </x:row>
    <x:row r="16" ht="93" customHeight="1">
      <x:c r="A16" s="14" t="str">
        <x:v>Uuden-Seelannin vuoden 2024 tunnistetun sähkötupakkavähittäismyynnin tuettu herkkyysväli on 533 662 383,68–731 175 792,50 NZD ja perusskenaario 641 811 687,89 NZD.</x:v>
      </x:c>
      <x:c r="B16" s="14" t="str">
        <x:v>Markkinakoko</x:v>
      </x:c>
      <x:c r="C16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16" s="14" t="str">
        <x:v>https://www.health.govt.nz/regulation-legislation/vaping-herbal-smoking-and-smokeless-tobacco/requirements/complete-a-notifiable-product-annual-return/annual-returns-2024 ; source/NZ_2024_RPS_RETAIL_VALUE_SENSITIVITY.md</x:v>
      </x:c>
      <x:c r="E16" s="14" t="str">
        <x:v>2026-07-24</x:v>
      </x:c>
      <x:c r="F16" s="17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16" s="14" t="str">
        <x:v>GST-käsittely, palautusten täydellisyys ja riippumaton täsmäytys ovat avoimia; ilmoittajien toimitusketjutason arvot on jätetty pois.</x:v>
      </x:c>
      <x:c r="H16" s="14" t="str">
        <x:v>Tuettu</x:v>
      </x:c>
      <x:c r="I16" s="14" t="str">
        <x:v>Ei havaittu kansallinen arvo eikä hyväksytty donor. Tarvitaan viranomaisen scope- ja GST-vahvistus sekä riippumaton toisto.</x:v>
      </x:c>
    </x:row>
    <x:row r="17" ht="58.5" customHeight="1">
      <x:c r="A17" s="14" t="str">
        <x:v>Vuoden 2023 kuuden virallisen työkirjan uusi numeerinen rekonstruktio on jätetty tarkoituksella laskematta.</x:v>
      </x:c>
      <x:c r="B17" s="14" t="str">
        <x:v>Markkinakoko</x:v>
      </x:c>
      <x:c r="C17" s="14" t="str">
        <x:v>Ministeriön julkaisema koonti on vähintään 374 milj. NZD ja 2 570 ilmoitusta. Se sisältää kaikki ilmoitettavat tuotteet, myös heated tobacco -tuotteet, ja ministeriö varoittaa laadusta.</x:v>
      </x:c>
      <x:c r="D17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17" s="14" t="str">
        <x:v>2026-07-24</x:v>
      </x:c>
      <x:c r="F17" s="14" t="str">
        <x:v>Kuusi virallista tiedostoa on eheystiivistetty; kaikki uusi laskenta palauttaa tilan not_computed.</x:v>
      </x:c>
      <x:c r="G17" s="14" t="str">
        <x:v>Tuoterajaus, määräkentät, duplikaatit, toimitusketjutaso, veroperusta ja riippumaton täsmäytys ovat ratkaisematta.</x:v>
      </x:c>
      <x:c r="H17" s="14" t="str">
        <x:v>Vahvistettu</x:v>
      </x:c>
      <x:c r="I17" s="14" t="str">
        <x:v>Vuoden 2023 uusi vaping-only-arvo puuttuu, eikä 374 milj. NZD:tä saa nimetä puhtaaksi sähkötupakkamarkkinaksi.</x:v>
      </x:c>
    </x:row>
    <x:row r="18" ht="58.5" customHeight="1">
      <x:c r="A18" s="14" t="str">
        <x:v>FTC:n virallisista taulukoista johdettu suljettujen järjestelmien ja kertakäyttötuotteiden raportoitu myynti oli 2 763 284 338 USD vuonna 2021.</x:v>
      </x:c>
      <x:c r="B18" s="14" t="str">
        <x:v>Markkinakoko</x:v>
      </x:c>
      <x:c r="C18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18" s="14" t="str">
        <x:v>https://www.ftc.gov/reports/e-cigarette-report-2015-2018 ; https://www.ftc.gov/reports/e-cigarette-report-2021 ; source/US_FTC_2015_2021_REPORTED_SALES.md</x:v>
      </x:c>
      <x:c r="E18" s="14" t="str">
        <x:v>2021</x:v>
      </x:c>
      <x:c r="F18" s="14" t="str">
        <x:v>FTC-taulukoiden cartridge systems + disposable e-cigarettes -myynnin vuosittainen summa.</x:v>
      </x:c>
      <x:c r="G18" s="14" t="str">
        <x:v>Raportoijajoukko muuttuu, open-system-tuotteet puuttuvat, taso on valmistajaraportointi ja veroperustaa ei ilmoiteta.</x:v>
      </x:c>
      <x:c r="H18" s="14" t="str">
        <x:v>Tuettu</x:v>
      </x:c>
      <x:c r="I18" s="14" t="str">
        <x:v>Ei täydellinen kansallinen kuluttajavähittäisarvo eikä hyväksytty donor; tarvitaan avoin POS- tai kuluttajamyyntisarja ja veroperusta.</x:v>
      </x:c>
    </x:row>
    <x:row r="19" ht="58.5" customHeight="1">
      <x:c r="A19" s="14" t="str">
        <x:v>Julkinen sivusto erottaa kolme evidenssikaistaa ja estää maailman kokonaisarvon, kun hyväksytty donor-portti on 0/3.</x:v>
      </x:c>
      <x:c r="B19" s="14" t="str">
        <x:v>Markkinakoko</x:v>
      </x:c>
      <x:c r="C19" s="14" t="str">
        <x:v>Viisi ehdokasta on arvioitu samoilla 10 D1–D10-kriteerillä; yksikään ei ole hyväksytty. Lisäksi alue- ja sääntelytyyppien peittoporttien on läpäistävä tarkistus.</x:v>
      </x:c>
      <x:c r="D19" s="14" t="str">
        <x:v>site/data/evidence-lanes.json ; site/data/donor-cockpit.json ; site/data/country-scenarios.json</x:v>
      </x:c>
      <x:c r="E19" s="14" t="str">
        <x:v>2026-07-24</x:v>
      </x:c>
      <x:c r="F19" s="14" t="str">
        <x:v>Fail-closed-portit: puuttuva tai virheellinen syöte tuottaa tilan not_computed eikä nollaa.</x:v>
      </x:c>
      <x:c r="G19" s="14" t="str">
        <x:v>Vain tarkistetut julkiset koontitiedot ja menetelmät ovat julkisella kaistalla; lisensoitu ja yksityinen aineisto eivät siirry repositorioon.</x:v>
      </x:c>
      <x:c r="H19" s="14" t="str">
        <x:v>Vahvistettu</x:v>
      </x:c>
      <x:c r="I19" s="14" t="str">
        <x:v>Maailmanarvo pysyy laskematta, kunnes vähintään kolme donoria sekä molemmat peittoportit hyväksytään.</x:v>
      </x:c>
    </x:row>
    <x:row r="20" ht="58.5" customHeight="1">
      <x:c r="A20" s="14" t="str">
        <x:v>Euroopan komissio julkaisee vuoden 2023 EU:n sähkötupakkamarkkinan 4,99 mrd euron vertailuarvon.</x:v>
      </x:c>
      <x:c r="B20" s="14" t="str">
        <x:v>Markkinan koko</x:v>
      </x:c>
      <x:c r="C20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0" s="14" t="str">
        <x:v>https://eur-lex.europa.eu/legal-content/EN/TXT/?uri=SWD%3A2025%3A0560%3AFIN ; https://eur-lex.europa.eu/legal-content/EN/TXT/?uri=SWD%3A2026%3A111%3AFIN</x:v>
      </x:c>
      <x:c r="E20" s="14" t="str">
        <x:v>2023</x:v>
      </x:c>
      <x:c r="F20" s="14" t="str">
        <x:v>Kahden Euroopan komission valmisteluasiakirjan taulukko-, sivu- ja lähdeviitteiden ristiinvertailu; lukuja ei summata.</x:v>
      </x:c>
      <x:c r="G20" s="14" t="str">
        <x:v>Komissio julkaisee vertailuarvon, mutta sen pohjana on kaupallinen Euromonitor-aineisto. Täysi menetelmä, veroperusta ja uudelleenkäytettävä maadata eivät ole julkisia, ja kolmesta EU-maasta ei ole tietoa.</x:v>
      </x:c>
      <x:c r="H20" s="14" t="str">
        <x:v>Tuettu</x:v>
      </x:c>
      <x:c r="I20" s="14" t="str">
        <x:v>Hanki lisensoitu maataulukko ja menetelmä, tapahtumamääritelmä, kanavapeitto, veroperusta sekä riippumaton täsmäytys; täydennä Kypros, Luxemburg ja Malta.</x:v>
      </x:c>
    </x:row>
    <x:row r="21" ht="58.5" customHeight="1">
      <x:c r="A21" s="14" t="str">
        <x:v>Kanadan Statistics Canada -sarja sisältää seitsemän koko vuoden kuluttajavähittäismyyntiestimaattia 2019–2025; vuoden 2024 arvo on 1 219 160 000 CAD.</x:v>
      </x:c>
      <x:c r="B21" s="14" t="str">
        <x:v>Markkinakoko</x:v>
      </x:c>
      <x:c r="C21" s="14" t="str">
        <x:v>Vuosisumma on neljän RCS-vuosineljänneksen summa NAPCS 5619122 -tuoteryhmälle. Health Canadan vuoden 2024 valmistaja-/maahantuojatoimitusarvo on 1 160 753 796,78 CAD.</x:v>
      </x:c>
      <x:c r="D21" s="14" t="str">
        <x:v>https://www150.statcan.gc.ca/t1/tbl1/en/tv.action?pid=2010007101 ; https://health-infobase.canada.ca/substance-use/vaping/sales/ ; source/CANADA_RCS_2019_2025_RETAIL_SALES.md</x:v>
      </x:c>
      <x:c r="E21" s="14" t="str">
        <x:v>2026-07-24</x:v>
      </x:c>
      <x:c r="F21" s="14" t="str">
        <x:v>1 219 160 000 − 1 160 753 796,78 = 58 406 203,22 CAD; RCS / Health Canada = 1,0503175 eli +5,03 %.</x:v>
      </x:c>
      <x:c r="G21" s="14" t="str">
        <x:v>Kaikilla vuoden 2024 neljänneksillä on E-laatuvaroitus. Sähkötupakkakohtaista kanavapeittoa ei ole määrällistetty eikä valmisteveroperustaa vahvistettu.</x:v>
      </x:c>
      <x:c r="H21" s="14" t="str">
        <x:v>Tuettu</x:v>
      </x:c>
      <x:c r="I21" s="14" t="str">
        <x:v>Retail–toimitus-silta ei vielä selitä katetta, varastoa, palautuksia, ajoitusta, tuoterajausta eikä verokäsittelyä; Kanada ei ole hyväksytty donor.</x:v>
      </x:c>
    </x:row>
    <x:row r="22" ht="58.5" customHeight="1">
      <x:c r="A22" s="14" t="str">
        <x:v>Kanadan vuoden 2024 raportoidut toimitukset sisälsivät 1 251 843 litraa nestettä.</x:v>
      </x:c>
      <x:c r="B22" s="14" t="str">
        <x:v>Markkinan koko</x:v>
      </x:c>
      <x:c r="C22" s="14" t="str">
        <x:v>Höyrystettävää ainetta sisältävien tuoteryhmien ilmoitettu määrä. Se on fyysinen määrä, ei vähittäismarkkina-arvo.</x:v>
      </x:c>
      <x:c r="D22" s="14" t="str">
        <x:v>https://health-infobase.canada.ca/substance-use/vaping/sales/</x:v>
      </x:c>
      <x:c r="E22" s="14" t="str">
        <x:v>2024</x:v>
      </x:c>
      <x:c r="F22" s="14" t="str">
        <x:v>Raportoitujen nestettä sisältävien tuoteryhmien summa.</x:v>
      </x:c>
      <x:c r="G22" s="14" t="str">
        <x:v>Fyysinen määrä, ei markkina-arvo.</x:v>
      </x:c>
      <x:c r="H22" s="14" t="str">
        <x:v>Vahvistettu</x:v>
      </x:c>
      <x:c r="I22" s="14" t="str">
        <x:v>Tarvitaan tuotemixin, keskihinnan ja vähittäiskanavan tiedot.</x:v>
      </x:c>
    </x:row>
    <x:row r="23" ht="58.5" customHeight="1">
      <x:c r="A23" s="14" t="str">
        <x:v>Saksan verotettu nestemäärä kasvoi 1.241 milj. l:sta 1.518 milj. l:aan vuosina 2023–2025.</x:v>
      </x:c>
      <x:c r="B23" s="14" t="str">
        <x:v>Markkinan koko</x:v>
      </x:c>
      <x:c r="C23" s="14" t="str">
        <x:v>2023 ja 2024 lopullisia; 2025 alustava.</x:v>
      </x:c>
      <x:c r="D23" s="14" t="str">
        <x:v>https://genesis.destatis.de/datenbank/online/statistic/73411/table/73411-0003</x:v>
      </x:c>
      <x:c r="E23" s="14" t="str">
        <x:v>2023–2025</x:v>
      </x:c>
      <x:c r="F23" s="14" t="str">
        <x:v>Destatis-taulukon nettomäärät, ei ekstrapolointia.</x:v>
      </x:c>
      <x:c r="G23" s="14" t="str">
        <x:v>Mittaa verotettua nestettä, ei laitteita tai laitonta myyntiä.</x:v>
      </x:c>
      <x:c r="H23" s="14" t="str">
        <x:v>Vahvistettu</x:v>
      </x:c>
      <x:c r="I23" s="14" t="str">
        <x:v>Vuoden 2025 lopullinen luku ja vähittäismyyntitiedot puuttuvat.</x:v>
      </x:c>
    </x:row>
    <x:row r="24" ht="58.5" customHeight="1">
      <x:c r="A24" s="14" t="str">
        <x:v>Saksan tupakankorvikkeiden valmisteverotulot olivat 404 milj. euroa vuonna 2025 (alustava).</x:v>
      </x:c>
      <x:c r="B24" s="14" t="str">
        <x:v>Markkinan koko</x:v>
      </x:c>
      <x:c r="C24" s="14" t="str">
        <x:v>Alustavat viralliset kassaperusteiset valmisteverotulot. Verotulo ei ole myyntituloa eikä vähittäismarkkina-arvoa.</x:v>
      </x:c>
      <x:c r="D24" s="14" t="str">
        <x:v>https://genesis.destatis.de/datenbank/online/statistic/73411/table/73411-0003</x:v>
      </x:c>
      <x:c r="E24" s="14" t="str">
        <x:v>2025</x:v>
      </x:c>
      <x:c r="F24" s="14" t="str">
        <x:v>Virallinen kassaperusteinen verohavainto.</x:v>
      </x:c>
      <x:c r="G24" s="14" t="str">
        <x:v>Verotulo ei ole myyntitulo tai vähittäismarkkina-arvo.</x:v>
      </x:c>
      <x:c r="H24" s="14" t="str">
        <x:v>Vahvistettu</x:v>
      </x:c>
      <x:c r="I24" s="14" t="str">
        <x:v>Tarvitaan lopullinen 2025 tilasto ja tuoteryhmäkohtainen veropohja.</x:v>
      </x:c>
    </x:row>
    <x:row r="25" ht="58.5" customHeight="1">
      <x:c r="A25" s="14" t="str">
        <x:v>Suomessa verotettiin 11 801,062 litraa nikotiininestettä vuonna 2025.</x:v>
      </x:c>
      <x:c r="B25" s="14" t="str">
        <x:v>Markkinan koko</x:v>
      </x:c>
      <x:c r="C25" s="14" t="str">
        <x:v>Virallinen koko vuoden nikotiinillisen sähkösavukenesteen määrä. Nikotiinittoman nesteen koko vuoden arvo on salattu; fyysinen määrä ei sisällä laitteita eikä ole vähittäismarkkina-arvo.</x:v>
      </x:c>
      <x:c r="D25" s="14" t="str">
        <x:v>https://vero2.stat.fi/PXWeb/api/v1/en/Vero/Valmistevero/vvt_010.px</x:v>
      </x:c>
      <x:c r="E25" s="14" t="str">
        <x:v>2025</x:v>
      </x:c>
      <x:c r="F25" s="14" t="str">
        <x:v>Verohallinnon PXWeb-havainto.</x:v>
      </x:c>
      <x:c r="G25" s="14" t="str">
        <x:v>Verotettu nikotiinineste ei kata koko sähkötupakkamarkkinaa.</x:v>
      </x:c>
      <x:c r="H25" s="14" t="str">
        <x:v>Vahvistettu</x:v>
      </x:c>
      <x:c r="I25" s="14" t="str">
        <x:v>Laitteet, nikotiinittomat tuotteet, veroton ja laiton kauppa puuttuvat.</x:v>
      </x:c>
    </x:row>
    <x:row r="26" ht="58.5" customHeight="1">
      <x:c r="A26" s="14" t="str">
        <x:v>Suomen nikotiininesteiden valmisteverotulot olivat 3 540 319 euroa vuonna 2025.</x:v>
      </x:c>
      <x:c r="B26" s="14" t="str">
        <x:v>Markkinan koko</x:v>
      </x:c>
      <x:c r="C26" s="14" t="str">
        <x:v>Viralliset koko vuoden nikotiinillisen sähkösavukenesteen valmisteverotulot. Nikotiinittoman nesteen koko vuoden arvo on salattu; verotulo ei ole myyntituloa eikä vähittäismarkkina-arvoa.</x:v>
      </x:c>
      <x:c r="D26" s="14" t="str">
        <x:v>https://vero2.stat.fi/PXWeb/api/v1/en/Vero/Valmistevero/vvt_010.px</x:v>
      </x:c>
      <x:c r="E26" s="14" t="str">
        <x:v>2025</x:v>
      </x:c>
      <x:c r="F26" s="14" t="str">
        <x:v>Verohallinnon PXWeb-havainto.</x:v>
      </x:c>
      <x:c r="G26" s="14" t="str">
        <x:v>Verotulo ei ole kuluttajamyynti.</x:v>
      </x:c>
      <x:c r="H26" s="14" t="str">
        <x:v>Vahvistettu</x:v>
      </x:c>
      <x:c r="I26" s="14" t="str">
        <x:v>Tarvitaan vähittäismyynti- ja hintadata.</x:v>
      </x:c>
    </x:row>
    <x:row r="27" ht="58.5" customHeight="1">
      <x:c r="A27" s="14" t="str">
        <x:v>Puolassa raportoitu sähkötupakkanesteiden määrä oli 805 441 litraa vuonna 2023.</x:v>
      </x:c>
      <x:c r="B27" s="14" t="str">
        <x:v>Markkinan koko</x:v>
      </x:c>
      <x:c r="C27" s="14" t="str">
        <x:v>Virallisessa parlamenttivastauksessa ilmoitettu nestemäärä. Se on fyysinen määrä, ei sisällä laitteiden arvoa eikä ole havaittu vähittäismarkkina-arvo.</x:v>
      </x:c>
      <x:c r="D27" s="14" t="str">
        <x:v>https://api.sejm.gov.pl/sejm/term10/interpellations/attachment/ATTDDEJZ5/i07255-o1.pdf</x:v>
      </x:c>
      <x:c r="E27" s="14" t="str">
        <x:v>2023</x:v>
      </x:c>
      <x:c r="F27" s="14" t="str">
        <x:v>Parlamentaariseen vastaukseen raportoitu määrä.</x:v>
      </x:c>
      <x:c r="G27" s="14" t="str">
        <x:v>Mittarin kattavuus on luettava alkuperäislähteen rajauksin.</x:v>
      </x:c>
      <x:c r="H27" s="14" t="str">
        <x:v>Vahvistettu</x:v>
      </x:c>
      <x:c r="I27" s="14" t="str">
        <x:v>Tarvitaan uudempi vuosisarja ja vähittäisarvo.</x:v>
      </x:c>
    </x:row>
    <x:row r="28" ht="58.5" customHeight="1">
      <x:c r="A28" s="14" t="str">
        <x:v>Puolan vuoden 2025 ilmoitettu e-nestevalmisteveron määrä oli 993,1 milj. PLN.</x:v>
      </x:c>
      <x:c r="B28" s="14" t="str">
        <x:v>Markkinan koko</x:v>
      </x:c>
      <x:c r="C28" s="14" t="str">
        <x:v>Virallisessa parlamenttivastauksessa ilmoitettu veromäärä. Se ei ole myyntituloa eikä vähittäismarkkina-arvoa, ja se pidetään erillään laitteiden ja osasarjojen veromääristä.</x:v>
      </x:c>
      <x:c r="D28" s="14" t="str">
        <x:v>https://api.sejm.gov.pl/sejm/term10/interpellations/attachment/ATTDVKHSJ/i17526-o1.pdf</x:v>
      </x:c>
      <x:c r="E28" s="14" t="str">
        <x:v>2025</x:v>
      </x:c>
      <x:c r="F28" s="14" t="str">
        <x:v>Parlamentaariseen vastaukseen raportoitu veromäärä.</x:v>
      </x:c>
      <x:c r="G28" s="14" t="str">
        <x:v>Veromäärä ei ole vähittäismyynti.</x:v>
      </x:c>
      <x:c r="H28" s="14" t="str">
        <x:v>Vahvistettu</x:v>
      </x:c>
      <x:c r="I28" s="14" t="str">
        <x:v>Tarvitaan toteuman lopullisuus ja veropohjan täsmäytys.</x:v>
      </x:c>
    </x:row>
    <x:row r="29" ht="58.5" customHeight="1">
      <x:c r="A29" s="14" t="str">
        <x:v>Ruotsissa verotettiin 26 000 litraa nikotiininestettä vuonna 2024.</x:v>
      </x:c>
      <x:c r="B29" s="14" t="str">
        <x:v>Markkinan koko</x:v>
      </x:c>
      <x:c r="C29" s="14" t="str">
        <x:v>Taulukon 7.5 pyöristetty virallinen määrä. Se kattaa nikotiinillisen sähkösavukenesteen, ei sisällä laitteita tai nikotiinitonta nestettä eikä ole vähittäismarkkina-arvo.</x:v>
      </x:c>
      <x:c r="D29" s="14" t="str">
        <x:v>https://www.regeringen.se/contentassets/1ed01e00001b42e5ad8d47433db63ece/berakningskonventioner_2026.pdf</x:v>
      </x:c>
      <x:c r="E29" s="14" t="str">
        <x:v>2024</x:v>
      </x:c>
      <x:c r="F29" s="14" t="str">
        <x:v>Hallituksen laskentaperusteessa ilmoitettu määrä.</x:v>
      </x:c>
      <x:c r="G29" s="14" t="str">
        <x:v>Verotettu nikotiinineste ei kata koko sähkötupakkamarkkinaa.</x:v>
      </x:c>
      <x:c r="H29" s="14" t="str">
        <x:v>Vahvistettu</x:v>
      </x:c>
      <x:c r="I29" s="14" t="str">
        <x:v>Tarvitaan toteutunut vähittäismyynti ja laitedata.</x:v>
      </x:c>
    </x:row>
    <x:row r="30" ht="58.5" customHeight="1">
      <x:c r="A30" s="14" t="str">
        <x:v>Kolme kaupallista vuoden 2025 globaaliarviota muodostavat 26,0–46,32 mrd USD haarukan.</x:v>
      </x:c>
      <x:c r="B30" s="14" t="str">
        <x:v>Markkinan koko</x:v>
      </x:c>
      <x:c r="C30" s="14" t="str">
        <x:v>IMARC 26,0; Grand View Research 45,7; Fortune Business Insights 46,32 mrd USD.</x:v>
      </x:c>
      <x:c r="D30" s="14" t="str">
        <x:v>https://www.imarcgroup.com/e-cigarette-market ; https://www.grandviewresearch.com/industry-analysis/e-cigarette-vaping-market ; https://www.fortunebusinessinsights.com/e-cigarette-and-vaping-market-114882</x:v>
      </x:c>
      <x:c r="E30" s="14" t="str">
        <x:v>2025</x:v>
      </x:c>
      <x:c r="F30" s="14" t="str">
        <x:v>Minimi 26000000000, maksimi 46320000000; arvioita verrataan, ei summata.</x:v>
      </x:c>
      <x:c r="G30" s="14" t="str">
        <x:v>Tuoterajaukset ja menetelmät eivät välttämättä ole yhteismitallisia.</x:v>
      </x:c>
      <x:c r="H30" s="14" t="str">
        <x:v>Tuettu</x:v>
      </x:c>
      <x:c r="I30" s="14" t="str">
        <x:v>Hanki raporttien täydet metodit ja harmonisoi tuoterajaus.</x:v>
      </x:c>
    </x:row>
    <x:row r="31" ht="58.5" customHeight="1">
      <x:c r="A31" s="14" t="str">
        <x:v>Saksan vuoden 2025 verotetun nesteen vähittäismyyntivastaavuuden mallihaitari on 667,92–1 654,62 milj. euroa.</x:v>
      </x:c>
      <x:c r="B31" s="14" t="str">
        <x:v>Taloudellinen malli</x:v>
      </x:c>
      <x:c r="C31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1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1" s="14" t="str">
        <x:v>2025 määrä / 2026 hinnat</x:v>
      </x:c>
      <x:c r="F31" s="14" t="str">
        <x:v>volume_litres * 1000 * retail_price_eur_per_ml</x:v>
      </x:c>
      <x:c r="G31" s="14" t="str">
        <x:v>Kolme yksittäistä verkkokauppahintaa; syötevuodet 2025 ja 2026; vain verotettu neste.</x:v>
      </x:c>
      <x:c r="H31" s="14" t="str">
        <x:v>Oletus</x:v>
      </x:c>
      <x:c r="I31" s="14" t="str">
        <x:v>Tarvitaan edustava hintakori, tuotemix ja kanavamarginaalit sekä mallivuoden 2025 hinnat.</x:v>
      </x:c>
    </x:row>
    <x:row r="32" ht="58.5" customHeight="1">
      <x:c r="A32" s="14" t="str">
        <x:v>Atlas ei ole vielä lainanantajavalmis markkina-arvio.</x:v>
      </x:c>
      <x:c r="B32" s="14" t="str">
        <x:v>Rahoitusteesi</x:v>
      </x:c>
      <x:c r="C32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2" s="14" t="str">
        <x:v>site/data/atlas.json (readiness)</x:v>
      </x:c>
      <x:c r="E32" s="14" t="str">
        <x:v>2026-07-24</x:v>
      </x:c>
      <x:c r="F32" s="14" t="str">
        <x:v>Julkisen datasetin oma readiness-luokitus.</x:v>
      </x:c>
      <x:c r="G32" s="14" t="str">
        <x:v>Markkinadata ja IP-arvo pidetään erillään.</x:v>
      </x:c>
      <x:c r="H32" s="14" t="str">
        <x:v>Vahvistettu</x:v>
      </x:c>
      <x:c r="I32" s="14" t="str">
        <x:v>Täytä blocker-lista ennen vakuusarvo- tai yritysarvopäätelmää.</x:v>
      </x:c>
    </x:row>
    <x:row r="33" ht="58.5" customHeight="1">
      <x:c r="A33" s="14" t="str">
        <x:v>Julkinen aineisto ei sisällä riippumatonta IVS-arvonmääritystä.</x:v>
      </x:c>
      <x:c r="B33" s="14" t="str">
        <x:v>Taloudellinen malli</x:v>
      </x:c>
      <x:c r="C33" s="14" t="str">
        <x:v>Readiness-blocker ilmoittaa riippumattoman arvonmäärityksen puuttuvan.</x:v>
      </x:c>
      <x:c r="D33" s="14" t="str">
        <x:v>site/data/atlas.json (readiness.blockers)</x:v>
      </x:c>
      <x:c r="E33" s="14" t="str">
        <x:v>2026-07-24</x:v>
      </x:c>
      <x:c r="F33" s="14" t="str">
        <x:v>Aineiston puute.</x:v>
      </x:c>
      <x:c r="G33" s="14" t="str">
        <x:v>Ei oletuksia.</x:v>
      </x:c>
      <x:c r="H33" s="14" t="str">
        <x:v>Puuttuu</x:v>
      </x:c>
      <x:c r="I33" s="14" t="str">
        <x:v>Tilaa riippumaton IP- ja tarvittaessa yritysarvonmääritys skenaarioineen.</x:v>
      </x:c>
    </x:row>
    <x:row r="34" ht="58.5" customHeight="1">
      <x:c r="A34" s="14" t="str">
        <x:v>Julkinen aineisto ei osoita toteutunutta lisenssi- tai vahingonkorvauskassavirtaa.</x:v>
      </x:c>
      <x:c r="B34" s="14" t="str">
        <x:v>Kaupallistamismalli</x:v>
      </x:c>
      <x:c r="C34" s="14" t="str">
        <x:v>Readiness-blocker ilmoittaa realisoituneen kassavirran puuttuvan.</x:v>
      </x:c>
      <x:c r="D34" s="14" t="str">
        <x:v>site/data/atlas.json (readiness.blockers)</x:v>
      </x:c>
      <x:c r="E34" s="14" t="str">
        <x:v>2026-07-24</x:v>
      </x:c>
      <x:c r="F34" s="14" t="str">
        <x:v>Aineiston puute.</x:v>
      </x:c>
      <x:c r="G34" s="14" t="str">
        <x:v>Ei oletuksia.</x:v>
      </x:c>
      <x:c r="H34" s="14" t="str">
        <x:v>Puuttuu</x:v>
      </x:c>
      <x:c r="I34" s="14" t="str">
        <x:v>Lisää allekirjoitetut sopimukset, laskut, maksutositteet ja saamisten täsmäytys.</x:v>
      </x:c>
    </x:row>
    <x:row r="35" ht="58.5" customHeight="1">
      <x:c r="A35" s="14" t="str">
        <x:v>Julkinen aineisto ei vahvista testituloksia tai riippumatonta teknistä validointia.</x:v>
      </x:c>
      <x:c r="B35" s="14" t="str">
        <x:v>Tekninen erottautuminen</x:v>
      </x:c>
      <x:c r="C35" s="14" t="str">
        <x:v>Patenttiselitys kuvaa ratkaisun; erillistä testirekisteriä ei ole julkisessa datassa.</x:v>
      </x:c>
      <x:c r="D35" s="14" t="str">
        <x:v>site/data/patent-history.json</x:v>
      </x:c>
      <x:c r="E35" s="14" t="str">
        <x:v>2026-07-24</x:v>
      </x:c>
      <x:c r="F35" s="14" t="str">
        <x:v>Aineiston puute suhteessa tekniseen suorituskykyväitteeseen.</x:v>
      </x:c>
      <x:c r="G35" s="14" t="str">
        <x:v>Patenttijulkaisu ei ole tuotetestiraportti.</x:v>
      </x:c>
      <x:c r="H35" s="14" t="str">
        <x:v>Puuttuu</x:v>
      </x:c>
      <x:c r="I35" s="14" t="str">
        <x:v>Hanki testiprotokolla, riippumaton laboratorio, tulokset ja raakadata.</x:v>
      </x:c>
    </x:row>
    <x:row r="36" ht="58.5" customHeight="1">
      <x:c r="A36" s="14" t="str">
        <x:v>Julkinen aineisto ei vahvista piloteja tai nimettyä asiakasnäyttöä.</x:v>
      </x:c>
      <x:c r="B36" s="14" t="str">
        <x:v>Validointi</x:v>
      </x:c>
      <x:c r="C36" s="14" t="str">
        <x:v>Julkisessa evidenssirekisterissä ei ole pilotti- tai asiakasvalidointia.</x:v>
      </x:c>
      <x:c r="D36" s="14" t="str">
        <x:v>site/data/evidence.csv</x:v>
      </x:c>
      <x:c r="E36" s="14" t="str">
        <x:v>2026-07-24</x:v>
      </x:c>
      <x:c r="F36" s="14" t="str">
        <x:v>Aineiston puute.</x:v>
      </x:c>
      <x:c r="G36" s="14" t="str">
        <x:v>Ei päätellä asiakkaiden olemassaoloa tai puuttumista yhtiötasolla.</x:v>
      </x:c>
      <x:c r="H36" s="14" t="str">
        <x:v>Puuttuu</x:v>
      </x:c>
      <x:c r="I36" s="14" t="str">
        <x:v>Lisää allekirjoitetut pilotit, toimitusnäyttö, asiakasreferenssit ja käyttödata.</x:v>
      </x:c>
    </x:row>
    <x:row r="37" ht="58.5" customHeight="1">
      <x:c r="A37" s="14" t="str">
        <x:v>Julkinen aineisto ei vahvista nykyistä maakohtaista omistusta, vuosimaksuja ja rasitteettomuutta koko perheessä.</x:v>
      </x:c>
      <x:c r="B37" s="14" t="str">
        <x:v>IP-status</x:v>
      </x:c>
      <x:c r="C37" s="14" t="str">
        <x:v>Perhejulkaisut eivät yksin osoita kansallista post-grant-tilaa.</x:v>
      </x:c>
      <x:c r="D37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37" s="14" t="str">
        <x:v>2026-07-24</x:v>
      </x:c>
      <x:c r="F37" s="14" t="str">
        <x:v>Diligence-rajaus.</x:v>
      </x:c>
      <x:c r="G37" s="14" t="str">
        <x:v>Neljä kansallista rekisterijurisdiktiota ei kata koko perhettä.</x:v>
      </x:c>
      <x:c r="H37" s="14" t="str">
        <x:v>Puuttuu</x:v>
      </x:c>
      <x:c r="I37" s="14" t="str">
        <x:v>Laadi asiamiehen allekirjoittama maamatriisi ja liitä tuoreet rekisteriotteet sekä maksukuitit.</x:v>
      </x:c>
    </x:row>
    <x:row r="38" ht="58.5" customHeight="1">
      <x:c r="A38" s="14" t="str">
        <x:v>Julkinen aineisto ei sisällä maakohtaisia tuote–vaatimusvertailuja.</x:v>
      </x:c>
      <x:c r="B38" s="14" t="str">
        <x:v>Tekninen erottautuminen</x:v>
      </x:c>
      <x:c r="C38" s="14" t="str">
        <x:v>Patenttihistorian guardrail edellyttää counsel-reviewed claim chartia.</x:v>
      </x:c>
      <x:c r="D38" s="14" t="str">
        <x:v>https://data.epo.org/publication-server/rest/v1.2/patents/EP3032975NWB2/document.pdf ; https://www.gesetze-bayern.de/Content/Document/Y-300-Z-BECKRS-B-2026-N-14206</x:v>
      </x:c>
      <x:c r="E38" s="14" t="str">
        <x:v>2026-07-24</x:v>
      </x:c>
      <x:c r="F38" s="14" t="str">
        <x:v>Vaatimuspiirteiden tuotekohtainen kartoitus puuttuu.</x:v>
      </x:c>
      <x:c r="G38" s="14" t="str">
        <x:v>Samankaltaisuus ei ole loukkaus.</x:v>
      </x:c>
      <x:c r="H38" s="14" t="str">
        <x:v>Puuttuu</x:v>
      </x:c>
      <x:c r="I38" s="14" t="str">
        <x:v>Hanki tuotteet, säilytä hallussapitoketju, tee teardown ja asiamiehen tarkastama claim chart.</x:v>
      </x:c>
    </x:row>
    <x:row r="39" ht="58.5" customHeight="1">
      <x:c r="A39" s="14" t="str">
        <x:v>Markkinan kokonaisarvo ei ole automaattisesti rojaltipohja.</x:v>
      </x:c>
      <x:c r="B39" s="14" t="str">
        <x:v>Taloudellinen malli</x:v>
      </x:c>
      <x:c r="C39" s="14" t="str">
        <x:v>Patenttihistorian kaupallistamisrajaus erottaa markkinan, kohdistettavan myynnin ja kassavirran.</x:v>
      </x:c>
      <x:c r="D39" s="14" t="str">
        <x:v>https://www.wipo.int/en/web/business/ip-valuation</x:v>
      </x:c>
      <x:c r="E39" s="14" t="str">
        <x:v>2026-07-24</x:v>
      </x:c>
      <x:c r="F39" s="14" t="str">
        <x:v>Arvonmäärityksen perusrajaus.</x:v>
      </x:c>
      <x:c r="G39" s="14" t="str">
        <x:v>Rojaltipohja vaatii patentin maantieteellisen, ajallisen ja tuotekohtaisen osuvuuden.</x:v>
      </x:c>
      <x:c r="H39" s="14" t="str">
        <x:v>Vahvistettu</x:v>
      </x:c>
      <x:c r="I39" s="14" t="str">
        <x:v>Tarvitaan addressable/in-scope/claim-mapped sales -silta.</x:v>
      </x:c>
    </x:row>
    <x:row r="40" ht="58.5" customHeight="1">
      <x:c r="A40" s="14" t="str">
        <x:v>Patenttiarvo, yritysarvo, osakearvo ja vakuusarvo ovat eri mittareita.</x:v>
      </x:c>
      <x:c r="B40" s="14" t="str">
        <x:v>Rahoitusteesi</x:v>
      </x:c>
      <x:c r="C40" s="14" t="str">
        <x:v>WIPO:n IP-arvonmääritys- ja rahoituskehys sekä aineiston oma guardrail.</x:v>
      </x:c>
      <x:c r="D40" s="14" t="str">
        <x:v>https://www.wipo.int/en/web/business/ip-valuation ; https://www.wipo.int/en/web/ip-financing</x:v>
      </x:c>
      <x:c r="E40" s="14" t="str">
        <x:v>2026-07-24</x:v>
      </x:c>
      <x:c r="F40" s="14" t="str">
        <x:v>Arvokäsitteiden erottelu.</x:v>
      </x:c>
      <x:c r="G40" s="14" t="str">
        <x:v>Ei oletuksia.</x:v>
      </x:c>
      <x:c r="H40" s="14" t="str">
        <x:v>Vahvistettu</x:v>
      </x:c>
      <x:c r="I40" s="14" t="str">
        <x:v>Rahoitusrakenne ja vakuusarvo vaativat erillisen oikeudellisen ja taloudellisen analyysin.</x:v>
      </x:c>
    </x:row>
    <x:row r="41" ht="58.5" customHeight="1">
      <x:c r="A41" s="14" t="str">
        <x:v>Asiantuntijavetoinen rajattu lisensointi- tai sovintopilotti on mahdollinen kaupallistamishypoteesi.</x:v>
      </x:c>
      <x:c r="B41" s="14" t="str">
        <x:v>Kaupallistamismalli</x:v>
      </x:c>
      <x:c r="C41" s="14" t="str">
        <x:v>Patenttihistorian vaiheistus suosittelee kovia portteja, claim chartia ja auditoitavaa yhteydenottoa.</x:v>
      </x:c>
      <x:c r="D41" s="14" t="str">
        <x:v>https://www.wipo.int/ja/web/business/assignment-licensing ; https://www.wipo.int/en/web/business/settle-ip-disputes ; https://www.epo.org/en/searching-for-patents/business/ipscore</x:v>
      </x:c>
      <x:c r="E41" s="14" t="str">
        <x:v>2026-07-24</x:v>
      </x:c>
      <x:c r="F41" s="14" t="str">
        <x:v>Hypoteesi, ei toteutunut kaupallinen näyttö.</x:v>
      </x:c>
      <x:c r="G41" s="14" t="str">
        <x:v>Kohdemaat ja vastapuolet valitaan vasta oikeus- ja evidenssiporttien jälkeen.</x:v>
      </x:c>
      <x:c r="H41" s="14" t="str">
        <x:v>Oletus</x:v>
      </x:c>
      <x:c r="I41" s="14" t="str">
        <x:v>Hyväksytä pilottimalli johdolla ja patenttiasiantuntijalla; dokumentoi kustannus, vasteet ja termit.</x:v>
      </x:c>
    </x:row>
    <x:row r="42" ht="58.5" customHeight="1">
      <x:c r="A42" s="14" t="str">
        <x:v>Patenttivakuudellinen rahoitus on arvioitava vain vahvistettujen oikeuksien ja kassavirtojen pohjalta.</x:v>
      </x:c>
      <x:c r="B42" s="14" t="str">
        <x:v>Rahoitusteesi</x:v>
      </x:c>
      <x:c r="C42" s="14" t="str">
        <x:v>WIPO IP Finance ja patenttihistorian vaihe 5.</x:v>
      </x:c>
      <x:c r="D42" s="14" t="str">
        <x:v>https://www.wipo.int/en/web/ip-financing ; https://www.wipo.int/en/web/business/ip-valuation</x:v>
      </x:c>
      <x:c r="E42" s="14" t="str">
        <x:v>2026-07-24</x:v>
      </x:c>
      <x:c r="F42" s="14" t="str">
        <x:v>Rahoitusperiaate.</x:v>
      </x:c>
      <x:c r="G42" s="14" t="str">
        <x:v>Ei näyttöä olemassa olevasta vakuusarvosta.</x:v>
      </x:c>
      <x:c r="H42" s="14" t="str">
        <x:v>Tuettu</x:v>
      </x:c>
      <x:c r="I42" s="14" t="str">
        <x:v>Tarvitaan riippumaton arvonmääritys, oikeuksien due diligence, toteutuneet tai sopimuspohjaiset kassavirrat ja downside-analyysi.</x:v>
      </x:c>
    </x:row>
    <x:row r="43" ht="58.5" customHeight="1">
      <x:c r="A43" s="14" t="str">
        <x:v>Australian oikeuden seuraava uusiminen on vahvistettava välittömästi.</x:v>
      </x:c>
      <x:c r="B43" s="14" t="str">
        <x:v>Riskit</x:v>
      </x:c>
      <x:c r="C43" s="14" t="str">
        <x:v>IP Australian API näyttää GRANTED-tilan, viimeisen uusimismaksun 18.7.2025 ja in-force date -päivän 14.8.2026.</x:v>
      </x:c>
      <x:c r="D43" s="14" t="str">
        <x:v>https://production.api.ipaustralia.gov.au/public/ipright-search-api/v1/patents/2014307829</x:v>
      </x:c>
      <x:c r="E43" s="14" t="str">
        <x:v>2026-08-14</x:v>
      </x:c>
      <x:c r="F43" s="14" t="str">
        <x:v>Virallisen API-tiedon diligence-hälytys.</x:v>
      </x:c>
      <x:c r="G43" s="14" t="str">
        <x:v>API:n in-force-through-päivä ei ole tässä lakisääteinen eräpäiväväite.</x:v>
      </x:c>
      <x:c r="H43" s="14" t="str">
        <x:v>Vahvistettu</x:v>
      </x:c>
      <x:c r="I43" s="14" t="str">
        <x:v>Patenttihallinto ja Australian asiamies: vahvistakaa lakisääteinen maksupäivä, summa, maksuvaltuus ja suoritettu maksu; arkistoikaa kuitti ja tuore rekisteriote.</x:v>
      </x:c>
    </x:row>
    <x:row r="44" ht="58.5" customHeight="1">
      <x:c r="A44" s="14" t="str">
        <x:v>Suomen 14. vuosimaksun eräpäiväksi on rekisteröity 31.8.2026.</x:v>
      </x:c>
      <x:c r="B44" s="14" t="str">
        <x:v>Riskit</x:v>
      </x:c>
      <x:c r="C44" s="14" t="str">
        <x:v>PRH kirjaa 14. vuoden 670 euron maksun eräpäiväksi 31.8.2026 ja myöhäisen maksukauden päättymispäiväksi 28.2.2027.</x:v>
      </x:c>
      <x:c r="D44" s="14" t="str">
        <x:v>https://patenttitietopalvelu.prh.fi/en/patent/20135829</x:v>
      </x:c>
      <x:c r="E44" s="14" t="str">
        <x:v>2026-08-31</x:v>
      </x:c>
      <x:c r="F44" s="14" t="str">
        <x:v>PRH:n rekisterihavainto.</x:v>
      </x:c>
      <x:c r="G44" s="14" t="str">
        <x:v>Tavoite on maksaa normaalina eräpäivänä.</x:v>
      </x:c>
      <x:c r="H44" s="14" t="str">
        <x:v>Vahvistettu</x:v>
      </x:c>
      <x:c r="I44" s="14" t="str">
        <x:v>Patenttihallinto: maksakaa ennen normaalia eräpäivää ja säilyttäkää maksukuitti sekä päivitetty PRH-ote.</x:v>
      </x:c>
    </x:row>
    <x:row r="45" ht="58.5" customHeight="1">
      <x:c r="A45" s="14" t="str">
        <x:v>Yhdysvaltain 7,5 vuoden ylläpitomaksun tila on vahvistettava.</x:v>
      </x:c>
      <x:c r="B45" s="14" t="str">
        <x:v>Riskit</x:v>
      </x:c>
      <x:c r="C45" s="14" t="str">
        <x:v>USPTO:n ylläpitomaksureitti näyttää normaalimaksuikkunan päättyvän 4.12.2026; maksutilaa ei vahvistettu riippumattomasti tässä julkaisussa.</x:v>
      </x:c>
      <x:c r="D45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45" s="14" t="str">
        <x:v>2026-12-04</x:v>
      </x:c>
      <x:c r="F45" s="14" t="str">
        <x:v>Virallisen maksuikkunan tarkistus.</x:v>
      </x:c>
      <x:c r="G45" s="14" t="str">
        <x:v>Julkaisu ei väitä, että maksu on tai ei ole suoritettu.</x:v>
      </x:c>
      <x:c r="H45" s="14" t="str">
        <x:v>Vahvistettu</x:v>
      </x:c>
      <x:c r="I45" s="14" t="str">
        <x:v>Yhdysvaltain patenttiasiamies: vahvistakaa entity status, summa ja maksu sekä arkistoikaa virallinen kuitti ja tuoreet ylläpito- ja siirtotiedot.</x:v>
      </x:c>
    </x:row>
    <x:row r="46" ht="58.5" customHeight="1">
      <x:c r="A46" s="14" t="str">
        <x:v>Julkinen aineisto ei sisällä auditoituja historiallisia tilinpäätöksiä tai kassavirtaennustetta.</x:v>
      </x:c>
      <x:c r="B46" s="14" t="str">
        <x:v>Taloudellinen malli</x:v>
      </x:c>
      <x:c r="C46" s="14" t="str">
        <x:v>Markkina- ja patenttiaineisto ei ole yhtiön talousaineisto.</x:v>
      </x:c>
      <x:c r="D46" s="14" t="str">
        <x:v>Julkisen paketin rajaus</x:v>
      </x:c>
      <x:c r="E46" s="14" t="str">
        <x:v>2026-07-24</x:v>
      </x:c>
      <x:c r="F46" s="14" t="str">
        <x:v>Aineiston puute.</x:v>
      </x:c>
      <x:c r="G46" s="14" t="str">
        <x:v>Yhtiön taloudellisesta tilanteesta ei tehdä päätelmää.</x:v>
      </x:c>
      <x:c r="H46" s="14" t="str">
        <x:v>Puuttuu</x:v>
      </x:c>
      <x:c r="I46" s="14" t="str">
        <x:v>Lisää 3–5 vuoden tilinpäätökset, tuore pääkirja, budjetti, kassavirta, velat ja verovelkatodistus.</x:v>
      </x:c>
    </x:row>
    <x:row r="47" ht="58.5" customHeight="1">
      <x:c r="A47" s="14" t="str">
        <x:v>Julkinen aineisto ei yksilöi rahoitustarvetta, käyttötarkoitusta tai takaisinmaksulähdettä.</x:v>
      </x:c>
      <x:c r="B47" s="14" t="str">
        <x:v>Rahoitusteesi</x:v>
      </x:c>
      <x:c r="C47" s="14" t="str">
        <x:v>Rahoitusparametreja ei ole markkina- tai patenttidatassa.</x:v>
      </x:c>
      <x:c r="D47" s="14" t="str">
        <x:v>Julkisen paketin rajaus</x:v>
      </x:c>
      <x:c r="E47" s="14" t="str">
        <x:v>2026-07-24</x:v>
      </x:c>
      <x:c r="F47" s="14" t="str">
        <x:v>Aineiston puute.</x:v>
      </x:c>
      <x:c r="G47" s="14" t="str">
        <x:v>Ei oleteta lainamäärää, maturiteettia tai vakuusrakennetta.</x:v>
      </x:c>
      <x:c r="H47" s="14" t="str">
        <x:v>Puuttuu</x:v>
      </x:c>
      <x:c r="I47" s="14" t="str">
        <x:v>Määritä lainamäärä, käyttötarkoitus, maturiteetti, lyhennysprofiili, takaisinmaksu ja kovenantit.</x:v>
      </x:c>
    </x:row>
    <x:row r="48" ht="58.5" customHeight="1">
      <x:c r="A48" s="14" t="str">
        <x:v>Julkinen aineisto ei osoita osakekantaa, cap tablea tai osakkeiden rasitteita.</x:v>
      </x:c>
      <x:c r="B48" s="14" t="str">
        <x:v>Rahoitusteesi</x:v>
      </x:c>
      <x:c r="C48" s="14" t="str">
        <x:v>Julkinen paketti on rajattu markkina- ja patenttievidenssiin.</x:v>
      </x:c>
      <x:c r="D48" s="14" t="str">
        <x:v>Julkisen paketin rajaus</x:v>
      </x:c>
      <x:c r="E48" s="14" t="str">
        <x:v>2026-07-24</x:v>
      </x:c>
      <x:c r="F48" s="14" t="str">
        <x:v>Aineiston puute.</x:v>
      </x:c>
      <x:c r="G48" s="14" t="str">
        <x:v>Ei oleteta omistusosuuksia tai vakuuskelpoisuutta.</x:v>
      </x:c>
      <x:c r="H48" s="14" t="str">
        <x:v>Puuttuu</x:v>
      </x:c>
      <x:c r="I48" s="14" t="str">
        <x:v>Toimita varmennettu osakasluettelo, yhtiöjärjestys, päätökset, panttaus- ja rasiteselvitys suljettuun datahuoneeseen.</x:v>
      </x:c>
    </x:row>
    <x:row r="49" ht="58.5" customHeight="1">
      <x:c r="A49" s="14" t="str">
        <x:v>Julkinen aineisto ei sisällä vertailukelpoista kilpailija- ja vaihtoehtoanalyysiä.</x:v>
      </x:c>
      <x:c r="B49" s="14" t="str">
        <x:v>Kilpailu</x:v>
      </x:c>
      <x:c r="C49" s="14" t="str">
        <x:v>Patenttiselitys ja oikeustapaukset eivät yksin muodosta markkinakilpailukarttaa.</x:v>
      </x:c>
      <x:c r="D49" s="14" t="str">
        <x:v>site/data/patent-history.json</x:v>
      </x:c>
      <x:c r="E49" s="14" t="str">
        <x:v>2026-07-24</x:v>
      </x:c>
      <x:c r="F49" s="14" t="str">
        <x:v>Aineiston puute.</x:v>
      </x:c>
      <x:c r="G49" s="14" t="str">
        <x:v>Kilpailu on erotettava patenttien päällekkäisyydestä ja ei-patentoiduista vaihtoehdoista.</x:v>
      </x:c>
      <x:c r="H49" s="14" t="str">
        <x:v>Puuttuu</x:v>
      </x:c>
      <x:c r="I49" s="14" t="str">
        <x:v>Laadi tuotteet, valmistajat, vaihtoehtoiset teknologiat, patenttiperheet, hinnat ja claim-map-status kattava vertailu.</x:v>
      </x:c>
    </x:row>
    <x:row r="50" ht="58.5" customHeight="1">
      <x:c r="A50" s="14" t="str">
        <x:v>Asiakassegmentit voidaan alustavasti jäsentää valmistajiin, teknologiatoimittajiin ja IP-rahoittajiin.</x:v>
      </x:c>
      <x:c r="B50" s="14" t="str">
        <x:v>Asiakkaat</x:v>
      </x:c>
      <x:c r="C50" s="14" t="str">
        <x:v>Patenttihistorian kaupallistamisreitit sisältävät lisensoinnin, luovutuksen ja IP-rahoituksen.</x:v>
      </x:c>
      <x:c r="D50" s="14" t="str">
        <x:v>https://www.wipo.int/ja/web/business/assignment-licensing ; https://www.wipo.int/en/web/ip-financing</x:v>
      </x:c>
      <x:c r="E50" s="14" t="str">
        <x:v>2026-07-24</x:v>
      </x:c>
      <x:c r="F50" s="14" t="str">
        <x:v>Segmentointihypoteesi kaupallistamisreiteistä.</x:v>
      </x:c>
      <x:c r="G50" s="14" t="str">
        <x:v>Ei todennettua ostoaikomusta tai asiakaskantaa.</x:v>
      </x:c>
      <x:c r="H50" s="14" t="str">
        <x:v>Oletus</x:v>
      </x:c>
      <x:c r="I50" s="14" t="str">
        <x:v>Validoi 10–15 strukturoitua ostaja- ja rahoittajahaastattelua sekä dokumentoi päätöskriteerit.</x:v>
      </x:c>
    </x:row>
    <x:row r="51" ht="58.5" customHeight="1">
      <x:c r="A51" s="14" t="str">
        <x:v>Saksan ratkaisut voivat toimia evidenssiankkurina, mutta eivät maailmanlaajuisena loukkausratkaisuna.</x:v>
      </x:c>
      <x:c r="B51" s="14" t="str">
        <x:v>Rahoitusteesi</x:v>
      </x:c>
      <x:c r="C51" s="14" t="str">
        <x:v>Ratkaisut ovat kansallisia, tuote-, osapuoli- ja ajanjaksokohtaisia.</x:v>
      </x:c>
      <x:c r="D51" s="14" t="str">
        <x:v>https://www.rechtsprechung-im-internet.de/jportal/?quelle=jlink&amp;docid=JURE269032275&amp;psml=bsjrsprod.psml ; https://www.gesetze-bayern.de/Content/Document/Y-300-Z-BECKRS-B-2026-N-14206</x:v>
      </x:c>
      <x:c r="E51" s="14" t="str">
        <x:v>2026-07-24</x:v>
      </x:c>
      <x:c r="F51" s="14" t="str">
        <x:v>Oikeudellisen vaikutuksen alueellinen rajaus.</x:v>
      </x:c>
      <x:c r="G51" s="14" t="str">
        <x:v>Muiden maiden tulokset riippuvat paikallisista oikeuksista ja tuotteista.</x:v>
      </x:c>
      <x:c r="H51" s="14" t="str">
        <x:v>Vahvistettu</x:v>
      </x:c>
      <x:c r="I51" s="14" t="str">
        <x:v>Laadi maakohtaiset oikeus- ja claim chart -paketit ennen yhteydenottoja.</x:v>
      </x:c>
    </x:row>
    <x:row r="52" ht="58.5" customHeight="1">
      <x:c r="A52" s="14" t="str">
        <x:v>Aineiston A-luokan maita on viisi, mutta 158 maata on D-luokassa.</x:v>
      </x:c>
      <x:c r="B52" s="14" t="str">
        <x:v>Markkinan koko</x:v>
      </x:c>
      <x:c r="C52" s="14" t="str">
        <x:v>Luokat: A 5, B 13, C 19, D 158.</x:v>
      </x:c>
      <x:c r="D52" s="14" t="str">
        <x:v>site/data/atlas.json (summary.gradeCounts)</x:v>
      </x:c>
      <x:c r="E52" s="14" t="str">
        <x:v>2026-07-24</x:v>
      </x:c>
      <x:c r="F52" s="14" t="str">
        <x:v>Maakohtaisten evidenssiluokkien laskenta.</x:v>
      </x:c>
      <x:c r="G52" s="14" t="str">
        <x:v>Luokka mittaa evidenssikypsyyttä, ei markkinan houkuttelevuutta.</x:v>
      </x:c>
      <x:c r="H52" s="14" t="str">
        <x:v>Vahvistettu</x:v>
      </x:c>
      <x:c r="I52" s="14" t="str">
        <x:v>Priorisoi D-maiden tietopyynnöt talouskoon, patenttistatuksen ja sääntelyn mukaan.</x:v>
      </x:c>
    </x:row>
    <x:row r="53" ht="58.5" customHeight="1">
      <x:c r="A53" s="14" t="str">
        <x:v>Maailmanlaajuista atlasestimaattia ei ole hyväksytty julkaistavaksi.</x:v>
      </x:c>
      <x:c r="B53" s="14" t="str">
        <x:v>Markkinakoko</x:v>
      </x:c>
      <x:c r="C53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53" s="14" t="str">
        <x:v>site/data/market-values.json (modelReadiness, donorProtocol ja donorCandidates)</x:v>
      </x:c>
      <x:c r="E53" s="14" t="str">
        <x:v>2026-07-24</x:v>
      </x:c>
      <x:c r="F53" s="14" t="str">
        <x:v>Kova portti: jokaisen donorin on läpäistävä D1–D10, ja lisäksi tarvitaan vähintään kolme yhteensopivaa donoria sekä molemmat peittoportit.</x:v>
      </x:c>
      <x:c r="G53" s="14" t="str">
        <x:v>Viralliset alarajat ja ulkoiset vertailuarvot säilyvät ristiintarkistuksina, mutta niitä ei lasketa hyväksytyiksi donoreiksi.</x:v>
      </x:c>
      <x:c r="H53" s="14" t="str">
        <x:v>Vahvistettu</x:v>
      </x:c>
      <x:c r="I53" s="14" t="str">
        <x:v>Älä julkaise yhtä maailmanarvoa ennen menetelmäporttien läpäisyä.</x:v>
      </x:c>
    </x:row>
    <x:row r="54" ht="58.5" customHeight="1">
      <x:c r="A54" s="15" t="str">
        <x:v>Korkean luottamuksen rahoituspaketti vaatii suljetun datahuoneen julkisen paketin rinnalle.</x:v>
      </x:c>
      <x:c r="B54" s="15" t="str">
        <x:v>Seuraavat vaiheet</x:v>
      </x:c>
      <x:c r="C54" s="15" t="str">
        <x:v>Julkinen paketti osoittaa lähteet ja puutteet mutta ei sisällä luottamuksellista talous-, sopimus- tai omistusaineistoa.</x:v>
      </x:c>
      <x:c r="D54" s="15" t="str">
        <x:v>Julkisen paketin rajaus</x:v>
      </x:c>
      <x:c r="E54" s="15" t="str">
        <x:v>2026-07-24</x:v>
      </x:c>
      <x:c r="F54" s="15" t="str">
        <x:v>Diligence-arkkitehtuurin suositus.</x:v>
      </x:c>
      <x:c r="G54" s="15" t="str">
        <x:v>Pääsy rajataan ja lokitetaan.</x:v>
      </x:c>
      <x:c r="H54" s="15" t="str">
        <x:v>Tuettu</x:v>
      </x:c>
      <x:c r="I54" s="15" t="str">
        <x:v>Perusta indeksoitu datahuone: Corporate, IP, Legal, Commercial, Finance, Valuation, Security.</x:v>
      </x:c>
    </x:row>
  </x:sheetData>
  <x:conditionalFormatting sqref="H2:H54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54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68af55f1a048b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julkisen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2026.07.24-19</x:v>
      </x:c>
    </x:row>
    <x:row r="6" ht="20.25" customHeight="1">
      <x:c r="A6" s="29" t="str">
        <x:v>Päivitetty</x:v>
      </x:c>
      <x:c r="B6" s="14" t="str">
        <x:v>2026-07-24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Register'!$A$2:$A$54)</x:f>
        <x:v>53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Register'!$H$2:$H$54,A11)</x:f>
        <x:v>29</x:v>
      </x:c>
    </x:row>
    <x:row r="12" ht="20.25" customHeight="1">
      <x:c r="A12" s="37" t="str">
        <x:v>Tuettu</x:v>
      </x:c>
      <x:c r="B12" s="14" t="n">
        <x:f>COUNTIF('Evidence Register'!$H$2:$H$54,A12)</x:f>
        <x:v>11</x:v>
      </x:c>
    </x:row>
    <x:row r="13" ht="20.25" customHeight="1">
      <x:c r="A13" s="38" t="str">
        <x:v>Oletus</x:v>
      </x:c>
      <x:c r="B13" s="14" t="n">
        <x:f>COUNTIF('Evidence Register'!$H$2:$H$54,A13)</x:f>
        <x:v>3</x:v>
      </x:c>
    </x:row>
    <x:row r="14" ht="20.25" customHeight="1">
      <x:c r="A14" s="39" t="str">
        <x:v>Puuttuu</x:v>
      </x:c>
      <x:c r="B14" s="15" t="n">
        <x:f>COUNTIF('Evidence Register'!$H$2:$H$54,A14)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26322b30c6ef4fa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2026-07-24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2026-07-24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2026-07-24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2026-07-24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2026-07-24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2026-07-24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2026-07-24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2026-07-24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2026-07-24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2026-07-24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2026-07-24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2026-07-24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2026-07-24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2026-07-24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2026-07-24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2026-07-24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2026-07-24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2026-07-24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2026-07-24</x:v>
      </x:c>
    </x:row>
    <x:row r="72" ht="31.5" customHeight="1">
      <x:c r="A72" s="14" t="str">
        <x:v>REGISTER-REFERENCE-32690599750D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https://data-api.ecb.europa.eu/service/data/EXR/A.USD.EUR.SP00.A?startPeriod=2025&amp;endPeriod=2025&amp;format=csvdata</x:v>
      </x:c>
      <x:c r="E72" s="14" t="str">
        <x:v>2026-07-24</x:v>
      </x:c>
    </x:row>
    <x:row r="73" ht="31.5" customHeight="1">
      <x:c r="A73" s="14" t="str">
        <x:v>REGISTER-REFERENCE-9B93C76EF890</x:v>
      </x:c>
      <x:c r="B73" s="14" t="str">
        <x:v>data.ecb.europa.eu</x:v>
      </x:c>
      <x:c r="C73" s="14" t="str">
        <x:v>register_reference</x:v>
      </x:c>
      <x:c r="D73" s="14" t="str">
        <x:v>https://data.ecb.europa.eu/data/datasets/exr/data-information</x:v>
      </x:c>
      <x:c r="E73" s="14" t="str">
        <x:v>2026-07-24</x:v>
      </x:c>
    </x:row>
    <x:row r="74" ht="31.5" customHeight="1">
      <x:c r="A74" s="14" t="str">
        <x:v>REGISTER-REFERENCE-50ED634F402A</x:v>
      </x:c>
      <x:c r="B74" s="14" t="str">
        <x:v>ecb.europa.eu</x:v>
      </x:c>
      <x:c r="C74" s="14" t="str">
        <x:v>register_reference</x:v>
      </x:c>
      <x:c r="D74" s="14" t="str">
        <x:v>https://www.ecb.europa.eu/stats/policy_and_exchange_rates/euro_reference_exchange_rates/html/index.en.html</x:v>
      </x:c>
      <x:c r="E74" s="14" t="str">
        <x:v>2026-07-24</x:v>
      </x:c>
    </x:row>
    <x:row r="75" ht="31.5" customHeight="1">
      <x:c r="A75" s="14" t="str">
        <x:v>US-FTC-E-CIGARETTE-REPORT-2015-2018</x:v>
      </x:c>
      <x:c r="B75" s="14" t="str">
        <x:v>Federal Trade Commission</x:v>
      </x:c>
      <x:c r="C75" s="14" t="str">
        <x:v>official_report</x:v>
      </x:c>
      <x:c r="D75" s="14" t="str">
        <x:v>https://www.ftc.gov/reports/e-cigarette-report-2015-2018</x:v>
      </x:c>
      <x:c r="E75" s="14" t="str">
        <x:v>2026-07-24</x:v>
      </x:c>
    </x:row>
    <x:row r="76" ht="31.5" customHeight="1">
      <x:c r="A76" s="14" t="str">
        <x:v>US-FTC-E-CIGARETTE-REPORT-2021</x:v>
      </x:c>
      <x:c r="B76" s="14" t="str">
        <x:v>Federal Trade Commission</x:v>
      </x:c>
      <x:c r="C76" s="14" t="str">
        <x:v>official_report</x:v>
      </x:c>
      <x:c r="D76" s="14" t="str">
        <x:v>https://www.ftc.gov/reports/e-cigarette-report-2021</x:v>
      </x:c>
      <x:c r="E76" s="14" t="str">
        <x:v>2026-07-24</x:v>
      </x:c>
    </x:row>
    <x:row r="77" ht="31.5" customHeight="1">
      <x:c r="A77" s="14" t="str">
        <x:v>UN-MEMBER-STATES</x:v>
      </x:c>
      <x:c r="B77" s="14" t="str">
        <x:v>United Nations</x:v>
      </x:c>
      <x:c r="C77" s="14" t="str">
        <x:v>official_reference</x:v>
      </x:c>
      <x:c r="D77" s="14" t="str">
        <x:v>https://www.un.org/en/about-us/member-states</x:v>
      </x:c>
      <x:c r="E77" s="14" t="str">
        <x:v>2026-07-24</x:v>
      </x:c>
    </x:row>
    <x:row r="78" ht="31.5" customHeight="1">
      <x:c r="A78" s="14" t="str">
        <x:v>UN-NON-MEMBER-STATES</x:v>
      </x:c>
      <x:c r="B78" s="14" t="str">
        <x:v>United Nations</x:v>
      </x:c>
      <x:c r="C78" s="14" t="str">
        <x:v>official_reference</x:v>
      </x:c>
      <x:c r="D78" s="14" t="str">
        <x:v>https://www.un.org/en/about-us/non-member-states</x:v>
      </x:c>
      <x:c r="E78" s="14" t="str">
        <x:v>2026-07-24</x:v>
      </x:c>
    </x:row>
    <x:row r="79" ht="31.5" customHeight="1">
      <x:c r="A79" s="15" t="str">
        <x:v>REGISTER-REFERENCE-3332B0031C1D</x:v>
      </x:c>
      <x:c r="B79" s="15" t="str">
        <x:v>www150.statcan.gc.ca</x:v>
      </x:c>
      <x:c r="C79" s="15" t="str">
        <x:v>register_reference</x:v>
      </x:c>
      <x:c r="D79" s="15" t="str">
        <x:v>https://www150.statcan.gc.ca/t1/tbl1/en/tv.action?pid=2010007101</x:v>
      </x:c>
      <x:c r="E79" s="15" t="str">
        <x:v>2026-07-24</x:v>
      </x:c>
    </x:row>
  </x:sheetData>
  <x:pageMargins left="0.7" right="0.7" top="0.75" bottom="0.75" header="0.3" footer="0.3"/>
  <x:tableParts count="1">
    <x:tablePart xmlns:r="http://schemas.openxmlformats.org/officeDocument/2006/relationships" r:id="R73adae9b0b1d446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7d031557710e4a7c"/>
  </x:tableParts>
</x:worksheet>
</file>