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e0c737637f43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 Register" sheetId="1" r:id="R3153ea57e86f465d"/>
    <x:sheet xmlns:r="http://schemas.openxmlformats.org/officeDocument/2006/relationships" name="Yhteenveto" sheetId="2" r:id="R6164b0abc4714e88"/>
    <x:sheet xmlns:r="http://schemas.openxmlformats.org/officeDocument/2006/relationships" name="Tutkijan kysymykset" sheetId="3" r:id="Re23596c1224a4611"/>
    <x:sheet xmlns:r="http://schemas.openxmlformats.org/officeDocument/2006/relationships" name="Lähteet" sheetId="4" r:id="Rdbeee81d39a445a1"/>
    <x:sheet xmlns:r="http://schemas.openxmlformats.org/officeDocument/2006/relationships" name="Eurovastineet" sheetId="5" r:id="Rd710870d042f46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0000000"/>
  </x:numFmts>
  <x:fonts count="8">
    <x:font>
      <x:sz val="11"/>
      <x:name val="Carlito"/>
    </x:font>
    <x:font>
      <x:b/>
      <x:sz val="10"/>
      <x:color rgb="FFFFFFFF"/>
      <x:name val="Aptos"/>
    </x:font>
    <x:font>
      <x:sz val="9"/>
      <x:color rgb="FF182935"/>
      <x:name val="Aptos"/>
    </x:font>
    <x:font>
      <x:b/>
      <x:sz val="9"/>
      <x:color rgb="FF182935"/>
      <x:name val="Aptos"/>
    </x:font>
    <x:font>
      <x:b/>
      <x:sz val="22"/>
      <x:color rgb="FFFFFFFF"/>
      <x:name val="Aptos Display"/>
    </x:font>
    <x:font>
      <x:b/>
      <x:sz val="10"/>
      <x:color rgb="FF5B6B75"/>
      <x:name val="Aptos"/>
    </x:font>
    <x:font>
      <x:b/>
      <x:sz val="12"/>
      <x:color rgb="FFFFFFFF"/>
      <x:name val="Aptos"/>
    </x:font>
    <x:font>
      <x:b/>
      <x:sz val="10"/>
      <x:color rgb="FF182935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071A2B"/>
      </x:patternFill>
    </x:fill>
    <x:fill>
      <x:patternFill patternType="solid">
        <x:fgColor rgb="FFE3F6F3"/>
      </x:patternFill>
    </x:fill>
    <x:fill>
      <x:patternFill patternType="solid">
        <x:fgColor rgb="FFFFF0CB"/>
      </x:patternFill>
    </x:fill>
    <x:fill>
      <x:patternFill patternType="solid">
        <x:fgColor rgb="FFEAF3F6"/>
      </x:patternFill>
    </x:fill>
    <x:fill>
      <x:patternFill patternType="solid">
        <x:fgColor rgb="FF0D5F86"/>
      </x:patternFill>
    </x:fill>
    <x:fill>
      <x:patternFill patternType="solid">
        <x:fgColor rgb="FFD9EDE7"/>
      </x:patternFill>
    </x:fill>
    <x:fill>
      <x:patternFill patternType="solid">
        <x:fgColor rgb="FFF8DADA"/>
      </x:patternFill>
    </x:fill>
  </x:fills>
  <x:borders count="6">
    <x:border/>
    <x:border>
      <x:bottom style="medium">
        <x:color rgb="FF00A4A6"/>
      </x:bottom>
    </x:border>
    <x:border>
      <x:bottom style="thin">
        <x:color rgb="FFCBD8DE"/>
      </x:bottom>
    </x:border>
    <x:border>
      <x:top style="thin">
        <x:color rgb="FFCBD8DE"/>
      </x:top>
      <x:bottom style="thin">
        <x:color rgb="FFCBD8DE"/>
      </x:bottom>
    </x:border>
    <x:border>
      <x:top style="thin">
        <x:color rgb="FFCBD8DE"/>
      </x:top>
    </x:border>
    <x:border>
      <x:bottom style="thin">
        <x:color rgb="FF00A4A6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3" fillId="3" borderId="3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5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left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2" fillId="7" borderId="2" xfId="0" applyNumberFormat="1" applyFont="1" applyFill="1" applyBorder="1" applyAlignment="1">
      <x:alignment vertical="top" wrapText="1"/>
    </x:xf>
    <x:xf numFmtId="0" fontId="2" fillId="5" borderId="3" xfId="0" applyNumberFormat="1" applyFont="1" applyFill="1" applyBorder="1" applyAlignment="1">
      <x:alignment vertical="top" wrapText="1"/>
    </x:xf>
    <x:xf numFmtId="0" fontId="2" fillId="4" borderId="3" xfId="0" applyNumberFormat="1" applyFont="1" applyFill="1" applyBorder="1" applyAlignment="1">
      <x:alignment vertical="top" wrapText="1"/>
    </x:xf>
    <x:xf numFmtId="0" fontId="2" fillId="8" borderId="4" xfId="0" applyNumberFormat="1" applyFont="1" applyFill="1" applyBorder="1" applyAlignment="1">
      <x:alignment vertical="top" wrapText="1"/>
    </x:xf>
    <x:xf numFmtId="0" fontId="7" fillId="7" borderId="2" xfId="0" applyNumberFormat="1" applyFont="1" applyFill="1" applyBorder="1" applyAlignment="1">
      <x:alignment vertical="top" wrapText="1"/>
    </x:xf>
    <x:xf numFmtId="0" fontId="7" fillId="5" borderId="3" xfId="0" applyNumberFormat="1" applyFont="1" applyFill="1" applyBorder="1" applyAlignment="1">
      <x:alignment vertical="top" wrapText="1"/>
    </x:xf>
    <x:xf numFmtId="0" fontId="7" fillId="4" borderId="3" xfId="0" applyNumberFormat="1" applyFont="1" applyFill="1" applyBorder="1" applyAlignment="1">
      <x:alignment vertical="top" wrapText="1"/>
    </x:xf>
    <x:xf numFmtId="0" fontId="7" fillId="8" borderId="4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0" borderId="2" xfId="0" applyNumberFormat="1" applyFont="1" applyFill="1" applyBorder="1" applyAlignment="1">
      <x:alignment horizontal="left" vertical="top" wrapText="1"/>
    </x:xf>
    <x:xf numFmtId="0" fontId="2" fillId="0" borderId="3" xfId="0" applyNumberFormat="1" applyFont="1" applyFill="1" applyBorder="1" applyAlignment="1">
      <x:alignment horizontal="left" vertical="top" wrapText="1"/>
    </x:xf>
    <x:xf numFmtId="0" fontId="2" fillId="0" borderId="4" xfId="0" applyNumberFormat="1" applyFont="1" applyFill="1" applyBorder="1" applyAlignment="1">
      <x:alignment horizontal="left" vertical="top" wrapText="1"/>
    </x:xf>
    <x:xf numFmtId="200" fontId="2" fillId="0" borderId="2" xfId="0" applyNumberFormat="1" applyFont="1" applyFill="1" applyBorder="1" applyAlignment="1">
      <x:alignment vertical="top" wrapText="1"/>
    </x:xf>
    <x:xf numFmtId="200" fontId="2" fillId="0" borderId="3" xfId="0" applyNumberFormat="1" applyFont="1" applyFill="1" applyBorder="1" applyAlignment="1">
      <x:alignment vertical="top" wrapText="1"/>
    </x:xf>
    <x:xf numFmtId="200" fontId="2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182935"/>
      </x:font>
      <x:fill>
        <x:patternFill patternType="solid">
          <x:bgColor rgb="FFD9EDE7"/>
        </x:patternFill>
      </x:fill>
    </x:dxf>
    <x:dxf>
      <x:font>
        <x:b/>
        <x:color rgb="FF182935"/>
      </x:font>
      <x:fill>
        <x:patternFill patternType="solid">
          <x:bgColor rgb="FFEAF3F6"/>
        </x:patternFill>
      </x:fill>
    </x:dxf>
    <x:dxf>
      <x:font>
        <x:b/>
        <x:color rgb="FF182935"/>
      </x:font>
      <x:fill>
        <x:patternFill patternType="solid">
          <x:bgColor rgb="FFFFF0CB"/>
        </x:patternFill>
      </x:fill>
    </x:dxf>
    <x:dxf>
      <x:font>
        <x:b/>
        <x:color rgb="FF182935"/>
      </x:font>
      <x:fill>
        <x:patternFill patternType="solid">
          <x:bgColor rgb="FFF8DA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377448b9734c24" /><Relationship Type="http://schemas.openxmlformats.org/officeDocument/2006/relationships/theme" Target="/xl/theme/theme1.xml" Id="Re374eb49377044db" /><Relationship Type="http://schemas.openxmlformats.org/officeDocument/2006/relationships/sharedStrings" Target="/xl/sharedStrings.xml" Id="R83907b75b8e042c9" /><Relationship Type="http://schemas.openxmlformats.org/officeDocument/2006/relationships/worksheet" Target="/xl/worksheets/sheet1.xml" Id="R3153ea57e86f465d" /><Relationship Type="http://schemas.openxmlformats.org/officeDocument/2006/relationships/worksheet" Target="/xl/worksheets/sheet2.xml" Id="R6164b0abc4714e88" /><Relationship Type="http://schemas.openxmlformats.org/officeDocument/2006/relationships/worksheet" Target="/xl/worksheets/sheet3.xml" Id="Re23596c1224a4611" /><Relationship Type="http://schemas.openxmlformats.org/officeDocument/2006/relationships/worksheet" Target="/xl/worksheets/sheet4.xml" Id="Rdbeee81d39a445a1" /><Relationship Type="http://schemas.openxmlformats.org/officeDocument/2006/relationships/worksheet" Target="/xl/worksheets/sheet5.xml" Id="Rd710870d042f465b" /></Relationships>
</file>

<file path=xl/tables/table1.xml><?xml version="1.0" encoding="utf-8"?>
<x:table xmlns:x="http://schemas.openxmlformats.org/spreadsheetml/2006/main" id="1" name="EvidenceRegisterFI" displayName="EvidenceRegisterFI" ref="A1:I61" headerRowCount="1" totalsRowCount="0" totalsRowShown="0">
  <x:autoFilter ref="A1:I61"/>
  <x:tableColumns count="9">
    <x:tableColumn id="1" name="Väite"/>
    <x:tableColumn id="2" name="Dia/osio"/>
    <x:tableColumn id="3" name="Todiste"/>
    <x:tableColumn id="4" name="Lähde"/>
    <x:tableColumn id="5" name="Päivämäärä"/>
    <x:tableColumn id="6" name="Laskentatapa"/>
    <x:tableColumn id="7" name="Oletukset"/>
    <x:tableColumn id="8" name="Luottamustaso"/>
    <x:tableColumn id="9" name="Puutteet / tarvittava lisänäyttö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viewerQuestionsFI" displayName="ReviewerQuestionsFI" ref="A1:D6" headerRowCount="1" totalsRowCount="0" totalsRowShown="0">
  <x:tableColumns count="4">
    <x:tableColumn id="1" name="Prioriteetti"/>
    <x:tableColumn id="2" name="Todennäköinen kysymys"/>
    <x:tableColumn id="3" name="Tarvittava näyttö"/>
    <x:tableColumn id="4" name="Nykytil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sFI" displayName="SourcesFI" ref="A1:E102" headerRowCount="1" totalsRowCount="0" totalsRowShown="0">
  <x:tableColumns count="5">
    <x:tableColumn id="1" name="Lähdetunnus"/>
    <x:tableColumn id="2" name="Julkaisija"/>
    <x:tableColumn id="3" name="Lähdeluokka"/>
    <x:tableColumn id="4" name="URL"/>
    <x:tableColumn id="5" name="Haettu / data-ajankoht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urEquivalentsFI" displayName="EurEquivalentsFI" ref="A1:N76" headerRowCount="1" totalsRowCount="0" totalsRowShown="0">
  <x:tableColumns count="14">
    <x:tableColumn id="1" name="Tietuetyyppi"/>
    <x:tableColumn id="2" name="Tunniste"/>
    <x:tableColumn id="3" name="Erä / komponentti"/>
    <x:tableColumn id="4" name="Maa / maantiede"/>
    <x:tableColumn id="5" name="Vuosi"/>
    <x:tableColumn id="6" name="Periodi"/>
    <x:tableColumn id="7" name="Alkuperäinen määrä"/>
    <x:tableColumn id="8" name="Valuutta"/>
    <x:tableColumn id="9" name="ECB-kurssi (valuuttayksikköä / EUR)"/>
    <x:tableColumn id="10" name="EUR-vasta-arvo (täysi tarkkuus)"/>
    <x:tableColumn id="11" name="Rate ID"/>
    <x:tableColumn id="12" name="ECB-lähde URL"/>
    <x:tableColumn id="13" name="Tila"/>
    <x:tableColumn id="14" name="Syy / menetelmä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b7c46ce2af94a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dea25e6cf804d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6c4dc40110f477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7242543625e42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.66999816894531" hidden="0" customWidth="1"/>
    <x:col min="2" max="2" width="18.889999389648438" hidden="0" customWidth="1"/>
    <x:col min="3" max="3" width="43.33000183105469" hidden="0" customWidth="1"/>
    <x:col min="4" max="4" width="41.11000061035156" hidden="0" customWidth="1"/>
    <x:col min="5" max="5" width="12.779999732971191" hidden="0" customWidth="1"/>
    <x:col min="6" max="6" width="33.33000183105469" hidden="0" customWidth="1"/>
    <x:col min="7" max="7" width="33.33000183105469" hidden="0" customWidth="1"/>
    <x:col min="8" max="8" width="13.890000343322754" hidden="0" customWidth="1"/>
    <x:col min="9" max="9" width="43.33000183105469" hidden="0" customWidth="1"/>
  </x:cols>
  <x:sheetData>
    <x:row r="1" ht="33" customHeight="1">
      <x:c r="A1" s="5" t="str">
        <x:v>Väite</x:v>
      </x:c>
      <x:c r="B1" s="5" t="str">
        <x:v>Dia/osio</x:v>
      </x:c>
      <x:c r="C1" s="5" t="str">
        <x:v>Todiste</x:v>
      </x:c>
      <x:c r="D1" s="5" t="str">
        <x:v>Lähde</x:v>
      </x:c>
      <x:c r="E1" s="5" t="str">
        <x:v>Päivämäärä</x:v>
      </x:c>
      <x:c r="F1" s="5" t="str">
        <x:v>Laskentatapa</x:v>
      </x:c>
      <x:c r="G1" s="5" t="str">
        <x:v>Oletukset</x:v>
      </x:c>
      <x:c r="H1" s="5" t="str">
        <x:v>Luottamustaso</x:v>
      </x:c>
      <x:c r="I1" s="5" t="str">
        <x:v>Puutteet / tarvittava lisänäyttö</x:v>
      </x:c>
    </x:row>
    <x:row r="2" ht="58.5" customHeight="1">
      <x:c r="A2" s="13" t="str">
        <x:v>Julkisen rekisteriaineiston mukaan patentin kirjattu haltija on Pixan Oy.</x:v>
      </x:c>
      <x:c r="B2" s="13" t="str">
        <x:v>IP-status</x:v>
      </x:c>
      <x:c r="C2" s="13" t="str">
        <x:v>EPO:n päätietueessa kirjattu haltija: Pixan Oy.</x:v>
      </x:c>
      <x:c r="D2" s="13" t="str">
        <x:v>https://register.epo.org/application?number=EP14836345&amp;lng=en&amp;tab=main</x:v>
      </x:c>
      <x:c r="E2" s="13" t="str">
        <x:v>2026-07-24</x:v>
      </x:c>
      <x:c r="F2" s="13" t="str">
        <x:v>Suora rekisterihavainto.</x:v>
      </x:c>
      <x:c r="G2" s="13" t="str">
        <x:v>Kirjaus vastaa tarkastelupäivän julkista tietuetta.</x:v>
      </x:c>
      <x:c r="H2" s="13" t="str">
        <x:v>Vahvistettu</x:v>
      </x:c>
      <x:c r="I2" s="13" t="str">
        <x:v>Täydellinen omistusketju, siirtokirjat ja rasitteet on tarkastettava erikseen.</x:v>
      </x:c>
    </x:row>
    <x:row r="3" ht="58.5" customHeight="1">
      <x:c r="A3" s="14" t="str">
        <x:v>Patenttiperheen varhaisin prioriteetti on FI20135829 päivältä 2013-08-14.</x:v>
      </x:c>
      <x:c r="B3" s="14" t="str">
        <x:v>IP-status</x:v>
      </x:c>
      <x:c r="C3" s="14" t="str">
        <x:v>EPO-tietue: FI20135829 · PCT/FI2014/050624 · WO2015022448 · EP3032975.</x:v>
      </x:c>
      <x:c r="D3" s="14" t="str">
        <x:v>https://register.epo.org/application?number=EP14836345&amp;lng=en&amp;tab=main ; https://register.epo.org/application?number=EP14836345&amp;lng=en&amp;tab=family</x:v>
      </x:c>
      <x:c r="E3" s="14" t="str">
        <x:v>2013-08-14</x:v>
      </x:c>
      <x:c r="F3" s="14" t="str">
        <x:v>Suora rekisterihavainto.</x:v>
      </x:c>
      <x:c r="G3" s="14" t="str">
        <x:v>Ei oletuksia.</x:v>
      </x:c>
      <x:c r="H3" s="14" t="str">
        <x:v>Vahvistettu</x:v>
      </x:c>
      <x:c r="I3" s="14" t="str">
        <x:v>Ei olennaista puutetta prioriteettiväitteen osalta.</x:v>
      </x:c>
    </x:row>
    <x:row r="4" ht="58.5" customHeight="1">
      <x:c r="A4" s="14" t="str">
        <x:v>EPO:n keskitetty väite- ja valitusmenettely päättyi patentin pysyttämiseen muutettuna.</x:v>
      </x:c>
      <x:c r="B4" s="14" t="str">
        <x:v>IP-status</x:v>
      </x:c>
      <x:c r="C4" s="14" t="str">
        <x:v>Nicoventures Trading Limited teki väitteen 28.2.2020. Suullinen käsittely pidettiin heinäkuussa 2021, välipäätös annettiin elokuussa 2021, ja Pixanin valitus T1818/21 tehtiin lokakuussa 2021 ja peruttiin 11.12.2023. Muutettu yhdeksän vaatimuksen B2-julkaisu julkaistiin 24.4.2024.</x:v>
      </x:c>
      <x:c r="D4" s="14" t="str">
        <x:v>https://register.epo.org/application?number=EP14836345&amp;lng=en&amp;tab=event ; https://register.epo.org/application?number=EP14836345&amp;lng=en&amp;tab=doclist ; https://data.epo.org/publication-server/rest/v1.2/patents/EP3032975NWB1/document.pdf ; https://data.epo.org/publication-server/rest/v1.2/patents/EP3032975NWB2/document.pdf</x:v>
      </x:c>
      <x:c r="E4" s="14" t="str">
        <x:v>2024-04-24</x:v>
      </x:c>
      <x:c r="F4" s="14" t="str">
        <x:v>Virallisten EPO-tapahtumien ja B2-julkaisun ristiintarkastus.</x:v>
      </x:c>
      <x:c r="G4" s="14" t="str">
        <x:v>Kansallinen voimassaolo käsitellään erikseen.</x:v>
      </x:c>
      <x:c r="H4" s="14" t="str">
        <x:v>Vahvistettu</x:v>
      </x:c>
      <x:c r="I4" s="14" t="str">
        <x:v>Kunkin kansallisen oikeuden nykytila on vahvistettava kansallisesta rekisteristä.</x:v>
      </x:c>
    </x:row>
    <x:row r="5" ht="58.5" customHeight="1">
      <x:c r="A5" s="14" t="str">
        <x:v>Muutetussa EP3032975B2-julkaisussa on yhdeksän vaatimusta.</x:v>
      </x:c>
      <x:c r="B5" s="14" t="str">
        <x:v>Patentoitu ratkaisu</x:v>
      </x:c>
      <x:c r="C5" s="14" t="str">
        <x:v>Myönnetty B1-julkaisu sisälsi 13 vaatimusta. Muutettu B2-julkaisu sisältää 9 vaatimusta, joissa kuvataan muun muassa ohjain ja menetelmä, joissa käytetään tallennettuja resistanssi–tehoarvoja, mitataan resistanssi, sovelletaan ei-suoraan-verrannollista tehosuhdetta ja sallitaan käyttäjäsäätö nollasta poikkeavan minimin ja tallennetun maksimin välillä. Tämä on yleiskielinen tiivistelmä, ei patenttivaatimusten oikeudellinen tulkinta.</x:v>
      </x:c>
      <x:c r="D5" s="14" t="str">
        <x:v>https://data.epo.org/publication-server/rest/v1.2/patents/EP3032975NWB2/document.pdf</x:v>
      </x:c>
      <x:c r="E5" s="14" t="str">
        <x:v>2024-04-24</x:v>
      </x:c>
      <x:c r="F5" s="14" t="str">
        <x:v>B2-julkaisun vaatimusten lukumäärä.</x:v>
      </x:c>
      <x:c r="G5" s="14" t="str">
        <x:v>Yleiskielinen tiivistelmä ei ole claim construction.</x:v>
      </x:c>
      <x:c r="H5" s="14" t="str">
        <x:v>Vahvistettu</x:v>
      </x:c>
      <x:c r="I5" s="14" t="str">
        <x:v>Maakohtainen asiantuntijan vaatimusvertailu tarvitaan kaupallisiin tai oikeudellisiin johtopäätöksiin.</x:v>
      </x:c>
    </x:row>
    <x:row r="6" ht="58.5" customHeight="1">
      <x:c r="A6" s="14" t="str">
        <x:v>Patenttiperheessä on 22 julkaisupohjaista tietuetta.</x:v>
      </x:c>
      <x:c r="B6" s="14" t="str">
        <x:v>Maantieteellinen kattavuus</x:v>
      </x:c>
      <x:c r="C6" s="14" t="str">
        <x:v>Julkisen patenttihistoriadatan familyRecordCount = 22.</x:v>
      </x:c>
      <x:c r="D6" s="14" t="str">
        <x:v>https://register.epo.org/application?number=EP14836345&amp;lng=en&amp;tab=family</x:v>
      </x:c>
      <x:c r="E6" s="14" t="str">
        <x:v>2026-07-24</x:v>
      </x:c>
      <x:c r="F6" s="14" t="str">
        <x:v>EPO-perhejulkaisujen lukumäärä; ei voimassa olevien oikeuksien lukumäärä.</x:v>
      </x:c>
      <x:c r="G6" s="14" t="str">
        <x:v>Julkaisutietue rinnastetaan vain perhereitiksi.</x:v>
      </x:c>
      <x:c r="H6" s="14" t="str">
        <x:v>Tuettu</x:v>
      </x:c>
      <x:c r="I6" s="14" t="str">
        <x:v>Vahvista omistus, maksut, käytettävät vaatimukset ja voimassaolo jokaisessa maassa.</x:v>
      </x:c>
    </x:row>
    <x:row r="7" ht="58.5" customHeight="1">
      <x:c r="A7" s="14" t="str">
        <x:v>Saksan virallinen tapahtuma: Mitätöintikanne hylättiin; valitus vireillä (14.1.2026).</x:v>
      </x:c>
      <x:c r="B7" s="14" t="str">
        <x:v>Oikeudellinen näyttö</x:v>
      </x:c>
      <x:c r="C7" s="14" t="str">
        <x:v>Virallinen tuomio hylkäsi EP3032975B2:n Saksan osaa koskevan mitättömyyskanteen. Virallinen rekisteri mainitsee valituksen liittovaltion ylimpään tuomioistuimeen asianumerolla X ZR 21/26.</x:v>
      </x:c>
      <x:c r="D7" s="14" t="str">
        <x:v>https://www.rechtsprechung-im-internet.de/jportal/?quelle=jlink&amp;docid=JURE269032275&amp;psml=bsjrsprod.psml</x:v>
      </x:c>
      <x:c r="E7" s="14" t="str">
        <x:v>2026-01-14</x:v>
      </x:c>
      <x:c r="F7" s="14" t="str">
        <x:v>Virallisen ratkaisun ja valitusviitteen lukeminen.</x:v>
      </x:c>
      <x:c r="G7" s="14" t="str">
        <x:v>Maantieteellinen ja prosessuaalinen rajaus: Saksa. Ei lainvoimainen BGH-valituksen ollessa vireillä.</x:v>
      </x:c>
      <x:c r="H7" s="14" t="str">
        <x:v>Vahvistettu</x:v>
      </x:c>
      <x:c r="I7" s="14" t="str">
        <x:v>Seuraa muutoksenhakua X ZR 21/26, sen lopputulosta, täytäntöönpanoa ja mahdollisia maksettuja korvauksia.</x:v>
      </x:c>
    </x:row>
    <x:row r="8" ht="58.5" customHeight="1">
      <x:c r="A8" s="14" t="str">
        <x:v>Saksan virallinen tapahtuma koski vaatimuksia 1 ja 6: Tarkasteltujen tuotteiden todettiin loukkaavan patenttia.</x:v>
      </x:c>
      <x:c r="B8" s="14" t="str">
        <x:v>Oikeudellinen näyttö</x:v>
      </x:c>
      <x:c r="C8" s="14" t="str">
        <x:v>Virallinen tuomio katsoi tarkasteltujen tuotteiden loukkaavan vaatimuksia 1 ja 6 välittömästi ja täydentävien osien osalta välillisesti sekä määräsi tuomiossa luetellut oikeusseuraamukset.</x:v>
      </x:c>
      <x:c r="D8" s="14" t="str">
        <x:v>https://www.gesetze-bayern.de/Content/Document/Y-300-Z-BECKRS-B-2026-N-14206</x:v>
      </x:c>
      <x:c r="E8" s="14" t="str">
        <x:v>2026-04-02</x:v>
      </x:c>
      <x:c r="F8" s="14" t="str">
        <x:v>Virallisen tuomion rajattu kuvaus.</x:v>
      </x:c>
      <x:c r="G8" s="14" t="str">
        <x:v>Maantieteellinen ja prosessuaalinen rajaus: Saksa. Virallinen tuomio on saatavilla; valitustilaa, lainvoimaisuutta ja täytäntöönpanoa ei ole tässä julkaisussa riippumattomasti vahvistettu.</x:v>
      </x:c>
      <x:c r="H8" s="14" t="str">
        <x:v>Vahvistettu</x:v>
      </x:c>
      <x:c r="I8" s="14" t="str">
        <x:v>Vahvista valitustila, lainvoimaisuus, täytäntöönpano ja maksetut korvaukset.</x:v>
      </x:c>
    </x:row>
    <x:row r="9" ht="58.5" customHeight="1">
      <x:c r="A9" s="14" t="str">
        <x:v>Kiinan tunnistettu menettely: Kiinan hakijapuolen uudelleentarkastus tunnistettu; perusteluja ei saatu.</x:v>
      </x:c>
      <x:c r="B9" s="14" t="str">
        <x:v>Oikeudellinen näyttö</x:v>
      </x:c>
      <x:c r="C9" s="14" t="str">
        <x:v>RPX merkitsee asian Kiinan patenttien uudelleentarkastuslautakunnan Review Request -menettelyksi. Reitti koskee hylätyn hakemuksen uudelleentarkastusta; kyse ei ole loukkaustuomiosta tai vastapuolen mitätöintiasiasta. Hakijan nimi esitetään muodossa Pixon Limited / 皮克森有限公司 ja vastaa vahvasti Pixanin kiinankielistä nimiversiota, mutta virallista päätöstä ei saatu haettua. CN105764365B julkaistiin myöhemmin myönnettynä 4.5.2021.</x:v>
      </x:c>
      <x:c r="D9" s="14" t="str">
        <x:v>https://litigation.rpxcorp.com/china/prb/5153434-picsen-company-v-pixan-oy-of-365 ; https://www.cnipa.gov.cn/art/2020/6/5/art_1517_92474.html ; https://register.epo.org/application?number=EP14836345&amp;lng=en&amp;tab=family</x:v>
      </x:c>
      <x:c r="E9" s="14" t="str">
        <x:v>2020-08-24</x:v>
      </x:c>
      <x:c r="F9" s="14" t="str">
        <x:v>Sekundäärisen docket-tiedon luokittelu virallisen prosessiohjeen avulla.</x:v>
      </x:c>
      <x:c r="G9" s="14" t="str">
        <x:v>Nimivastaavuus on vahva mutta virallista päätöstä ei saatu.</x:v>
      </x:c>
      <x:c r="H9" s="14" t="str">
        <x:v>Tuettu</x:v>
      </x:c>
      <x:c r="I9" s="14" t="str">
        <x:v>Hanki CNIPA:n virallinen päätös ja sen perustelut.</x:v>
      </x:c>
    </x:row>
    <x:row r="10" ht="58.5" customHeight="1">
      <x:c r="A10" s="14" t="str">
        <x:v>Julkinen avoin maapohja sisältää 578 havaittua World Bank -lukua; siinä on 0 sähkötupakkavähittäismyyntihavaintoa.</x:v>
      </x:c>
      <x:c r="B10" s="14" t="str">
        <x:v>Markkinan rajaus</x:v>
      </x:c>
      <x:c r="C10" s="14" t="str">
        <x:v>Väestö ja ikäryhmä 15–64 vuotta kattavat kumpikin 194/195 maata. BKT asukasta kohti kattaa 190/195 maata, ja kaikille 190 havainnolle on laskettu saman lähdevuoden EKP-kurssilla EUR-vasta-arvo. WHO- ja UN Comtrade -reitit ovat 195/195 jonossa ja puuttuvina, eivät nollina; vähittäismyyntiin kelpaavia havaintoja on 0.</x:v>
      </x:c>
      <x:c r="D10" s="14" t="str">
        <x:v>site/data/global-base-layer.json ; site/data/global-base-layer.csv ; https://datahelpdesk.worldbank.org/knowledgebase/articles/898581-api-basic-call-structures ; https://www.un.org/en/about-us/member-states ; https://www.un.org/en/about-us/non-member-states</x:v>
      </x:c>
      <x:c r="E10" s="14" t="str">
        <x:v>2026-07-27</x:v>
      </x:c>
      <x:c r="F10" s="14" t="str">
        <x:v>Kustakin World Bank -sarjasta valitaan uusin ei-tyhjä havainto vuosilta 2020–2024 ja alkuperäinen lähdevuosi säilytetään. USD/asukas jaetaan vain saman lähdevuoden EKP-kurssilla.</x:v>
      </x:c>
      <x:c r="G10" s="14" t="str">
        <x:v>Väestö, BKT, käyttäjäprevalenssi ja kauppavirrat ovat tausta- tai proxymittareita, eivät sähkötupakkamyynnin arvoja.</x:v>
      </x:c>
      <x:c r="H10" s="14" t="str">
        <x:v>Vahvistettu</x:v>
      </x:c>
      <x:c r="I10" s="14" t="str">
        <x:v>Maakohtaiset vuosittaiset laite- ja e-nestemyyntiarvot, WHO-reitin numeerinen poiminta ja UN Comtrade -luokituksen validointi puuttuvat.</x:v>
      </x:c>
    </x:row>
    <x:row r="11" ht="58.5" customHeight="1">
      <x:c r="A11" s="14" t="str">
        <x:v>195 maan menetelmäkontrolli erottaa 28 tarkistettua maasuunnitelmaa, 0 tarkistettua lähdepolkua, 15 alueellista EU TPD -raportointimallia ja 152 maakohtaisesti rajaamatonta proxy-reittiä.</x:v>
      </x:c>
      <x:c r="B11" s="14" t="str">
        <x:v>Markkinan rajaus</x:v>
      </x:c>
      <x:c r="C11" s="14" t="str">
        <x:v>Jokaisella maalla on näkyvä menetelmäluokka, seuraava evidenssitoimi ja lähdeperusta. Luokitus ei ole myyntihavainto: kaikilla 195 maalla eligibleForGlobalRollup=false ja donorAccepted=false.</x:v>
      </x:c>
      <x:c r="D11" s="14" t="str">
        <x:v>site/data/global-base-layer.json ; source/country-method-route-config.json ; source/COUNTRY_METHOD_ROUTE_MAP.md ; source/FIVE_COUNTRY_METHOD_SPRINT_2026-07-27.md</x:v>
      </x:c>
      <x:c r="E11" s="14" t="str">
        <x:v>2026-07-27</x:v>
      </x:c>
      <x:c r="F11" s="14" t="str">
        <x:v>195 = 28 reviewed_method_plan + 0 reviewed_source_lead + 15 regional_tpd_pattern_only + 152 proxy_only_unscoped.</x:v>
      </x:c>
      <x:c r="G11" s="14" t="str">
        <x:v>Vain 28 maalla on tarkistettu maakohtainen menetelmäsuunnitelma. Viisi tässä sprintissä tarkistettua lähdepolkua siirrettiin maasuunnitelmiksi vasta, kun virallinen haltija, kentät, kaava ja rajoitteet oli dokumentoitu. Luokitus ei osoita kansallista myyntisarjaa; 152 reittiä vaatii maakohtaisen rajauksen.</x:v>
      </x:c>
      <x:c r="H11" s="14" t="str">
        <x:v>Vahvistettu</x:v>
      </x:c>
      <x:c r="I11" s="14" t="str">
        <x:v>Yksikään menetelmäluokka ei korvaa vuosittaista laite- ja e-nestemyynnin arvoa, veroperustaa, kanavapeittoa tai D1–D10-hyväksyntää.</x:v>
      </x:c>
    </x:row>
    <x:row r="12" ht="58.5" customHeight="1">
      <x:c r="A12" s="14" t="str">
        <x:v>Itävallalla on tarkistettu vuosittaiseen lakisääteiseen myyntiraportointiin ja sähkönestevalmisteveroon perustuva menetelmäsuunnitelma; vähittäismarkkina-arvoa ei ole laskettu.</x:v>
      </x:c>
      <x:c r="B12" s="14" t="str">
        <x:v>Markkinakoko / Itävalta</x:v>
      </x:c>
      <x:c r="C12" s="14" t="str">
        <x:v>Virallinen reitti edellyttää edellisen vuoden vuosivolyymien raportointia ja vahvistaa sähkönestevalmisteveron alkavan 2026-04-01 tasolla EUR 200 litralta.</x:v>
      </x:c>
      <x:c r="D12" s="14" t="str">
        <x:v>source/FIVE_COUNTRY_METHOD_SPRINT_2026-07-27.md (Austria)</x:v>
      </x:c>
      <x:c r="E12" s="14" t="str">
        <x:v>2026-07-27</x:v>
      </x:c>
      <x:c r="F12" s="14" t="str">
        <x:v>Verolliset litrat = sähkönestekohtainen nettovero / sovellettava EUR 200 litralta 2026-04-01 alkavalla jaksolla.</x:v>
      </x:c>
      <x:c r="G12" s="14" t="str">
        <x:v>Sekajaksot erotellaan; vuosiraportointi ja veroinversio ovat vaihtoehtoisia sovitusreittejä, eivät yhteenlaskettavia.</x:v>
      </x:c>
      <x:c r="H12" s="14" t="str">
        <x:v>Vahvistettu</x:v>
      </x:c>
      <x:c r="I12" s="14" t="str">
        <x:v>Kansallista vuosikoostetta, hintasarjaa, kattavuutta ja vähittäismyynnin sovitusta ei ole saatu; retailValueStatus on not_computed.</x:v>
      </x:c>
    </x:row>
    <x:row r="13" ht="58.5" customHeight="1">
      <x:c r="A13" s="14" t="str">
        <x:v>Belgian virallinen osavuosiveroluku tuottaa vain pyöristetyn 9 kuukauden verovolyymi-indikaattorin; se ei ole koko vuoden myynti eikä vähittäismarkkina-arvo.</x:v>
      </x:c>
      <x:c r="B13" s="14" t="str">
        <x:v>Markkinakoko / Belgia</x:v>
      </x:c>
      <x:c r="C13" s="14" t="str">
        <x:v>Virallinen arviolta EUR 12 500 000 ja verokanta EUR 0,15 per ml vastaavat arviolta 83 333 333 ml eli 83 333 litraa.</x:v>
      </x:c>
      <x:c r="D13" s="14" t="str">
        <x:v>source/FIVE_COUNTRY_METHOD_SPRINT_2026-07-27.md (Belgium)</x:v>
      </x:c>
      <x:c r="E13" s="14" t="str">
        <x:v>2026-07-27</x:v>
      </x:c>
      <x:c r="F13" s="14" t="str">
        <x:v>EUR 12 500 000 / EUR 0,15 per ml = arviolta 83 333 333 ml ≈ 83 333 litraa.</x:v>
      </x:c>
      <x:c r="G13" s="14" t="str">
        <x:v>Luku koskee 9 kuukauden jaksoa; varastointi, rajakauppa ja maksujen ajoitus voivat vääristää tulkintaa.</x:v>
      </x:c>
      <x:c r="H13" s="14" t="str">
        <x:v>Tuettu</x:v>
      </x:c>
      <x:c r="I13" s="14" t="str">
        <x:v>Nettoveronalaisia luovutuksia, koko vuotta, kuluttajamyyntiä, hintaa ja kanavakattavuutta ei ole vahvistettu; 9 kuukauden indikaattoria ei hyväksytä donoriksi.</x:v>
      </x:c>
    </x:row>
    <x:row r="14" ht="58.5" customHeight="1">
      <x:c r="A14" s="14" t="str">
        <x:v>Sveitsillä on 2024-10-01 alkanut kahden verokannan menetelmäreitti; vähittäismarkkina-arvoa ei ole laskettu.</x:v>
      </x:c>
      <x:c r="B14" s="14" t="str">
        <x:v>Markkinakoko / Sveitsi</x:v>
      </x:c>
      <x:c r="C14" s="14" t="str">
        <x:v>Virallinen reitti erottaa kertakäyttötuotteiden CHF 1,00 per ml ja uudelleenkäytettävien nikotiinituotteiden CHF 0,20 per ml; ensimmäinen jakso on 2024-10-01–2024-12-31.</x:v>
      </x:c>
      <x:c r="D14" s="14" t="str">
        <x:v>source/FIVE_COUNTRY_METHOD_SPRINT_2026-07-27.md (Switzerland)</x:v>
      </x:c>
      <x:c r="E14" s="14" t="str">
        <x:v>2026-07-27</x:v>
      </x:c>
      <x:c r="F14" s="14" t="str">
        <x:v>Kertakäyttötuotteiden verollinen ml = luokan nettovero / CHF 1,00; uudelleenkäytettävien nikotiinituotteiden verollinen ml = luokan nettovero / CHF 0,20; litrat = ml / 1 000.</x:v>
      </x:c>
      <x:c r="G14" s="14" t="str">
        <x:v>Veroluokat on toimitettava erillään eikä yhdistetylle verolle ole yksikäsitteistä volyymiratkaisua.</x:v>
      </x:c>
      <x:c r="H14" s="14" t="str">
        <x:v>Vahvistettu</x:v>
      </x:c>
      <x:c r="I14" s="14" t="str">
        <x:v>Luokkakohtaiset nettoverot tai millilitrat, oikaisut, nikotiinittomat täyttönesteet, hinnat ja kuluttajamyynti puuttuvat; retailValueStatus on not_computed.</x:v>
      </x:c>
    </x:row>
    <x:row r="15" ht="58.5" customHeight="1">
      <x:c r="A15" s="14" t="str">
        <x:v>Luxemburgilla on 2024-10-01 alkanut valmistevero- ja veromerkkimenetelmä, mutta virallinen vastaus vahvistaa, ettei pyydettyjä kulutukseen luovutettuja määriä, verotuottoa tai kategoriatilastoja ole saatavilla; vähittäismarkkina-arvoa ei ole laskettu.</x:v>
      </x:c>
      <x:c r="B15" s="14" t="str">
        <x:v>Markkinakoko / Luxemburg</x:v>
      </x:c>
      <x:c r="C15" s="14" t="str">
        <x:v>Viranomainen ei toimittanut volyymi- tai verotuottosarjaa eikä erottele pyydettyjä tuotekategorioita. Se osoitti virallisen rekisteröityjen vähittäishintojen listan, joka on vain hinta- ja veromerkkireferenssi.</x:v>
      </x:c>
      <x:c r="D15" s="14" t="str">
        <x:v>https://douanes.public.lu/dam-assets/fr/accises/signes-fiscaux/2024/s48/bareme-e-liquide-s48.pdf ; source/FIVE_COUNTRY_METHOD_SPRINT_2026-07-27.md (Luxembourg)</x:v>
      </x:c>
      <x:c r="E15" s="14" t="str">
        <x:v>2026-07-29</x:v>
      </x:c>
      <x:c r="F15" s="14" t="str">
        <x:v>Ei laskentaa: hintalistaa ei kerrota vahvistamattomalla pakkausmäärällä eikä verokantaa käännetä volyymiksi ilman nettoverotuottoa.</x:v>
      </x:c>
      <x:c r="G15" s="14" t="str">
        <x:v>Puuttuvaa viranomaiskoostetta ei käsitellä nollana. Hintalista ei osoita myyntiä, volyymia, kulutukseen luovutusta tai kuluttajakysyntää.</x:v>
      </x:c>
      <x:c r="H15" s="14" t="str">
        <x:v>Vahvistettu</x:v>
      </x:c>
      <x:c r="I15" s="14" t="str">
        <x:v>Vuosittaiset veronalaiset millilitrat, verotuotto, veromerkkien pakkausmäärät, laitemäärät, sell-through ja kauden lopullisuus puuttuvat; retailValueStatus on not_computed.</x:v>
      </x:c>
    </x:row>
    <x:row r="16" ht="58.5" customHeight="1">
      <x:c r="A16" s="14" t="str">
        <x:v>Norjalla ei ole nykyistä Article 20(7) -vuosimyyntireittiä; vuoden 2026 NOK 5,38 per ml oleva lakisääteinen verokanta ei ole käytännössä voimassa eikä osoita markkina-arvoa.</x:v>
      </x:c>
      <x:c r="B16" s="14" t="str">
        <x:v>Markkinakoko / Norja</x:v>
      </x:c>
      <x:c r="C16" s="14" t="str">
        <x:v>Virallinen ohje kieltää nikotiinituotteiden kaupallisen tuonnin ja myynnin, eikä uutta TPD-reittiä sovelleta; SSB:n ulkomaankauppatiedot ovat vain tulliproxy.</x:v>
      </x:c>
      <x:c r="D16" s="14" t="str">
        <x:v>source/FIVE_COUNTRY_METHOD_SPRINT_2026-07-27.md (Norway)</x:v>
      </x:c>
      <x:c r="E16" s="14" t="str">
        <x:v>2026-07-27</x:v>
      </x:c>
      <x:c r="F16" s="14" t="str">
        <x:v>Veroinversio sallitaan vain, jos käytännössä voimassa olevat luokkakohtaiset nettotulot saadaan; tulliproxy ei muutu kansalliseksi kuluttajamyynniksi.</x:v>
      </x:c>
      <x:c r="G16" s="14" t="str">
        <x:v>Kielto, lakisääteinen verokanta tai puuttuva tietue ei osoita markkinan puuttumista.</x:v>
      </x:c>
      <x:c r="H16" s="14" t="str">
        <x:v>Vahvistettu</x:v>
      </x:c>
      <x:c r="I16" s="14" t="str">
        <x:v>Nikotiinittomien tuotteiden kuluttajamyynti, millilitrat, hinnat, kotimainen tuotanto, varastot, jälleenvienti ja laittomat kanavat puuttuvat; retailValueStatus on not_computed.</x:v>
      </x:c>
    </x:row>
    <x:row r="17" ht="58.5" customHeight="1">
      <x:c r="A17" s="14" t="str">
        <x:v>Italian ADM:n PLI-tuotteiden kulutusverotuotto oli 55 910 871,89 EUR vuonna 2023 ja 84 309 841,41 EUR vuonna 2024; kyse ei ole vähittäismarkkina-arvosta.</x:v>
      </x:c>
      <x:c r="B17" s="14" t="str">
        <x:v>Markkinakoko / Italia</x:v>
      </x:c>
      <x:c r="C17" s="14" t="str">
        <x:v>ADM:n Libro Blu 2024 -raportin taulukko III.9 näyttää 50,79 prosentin verotuottomuutoksen. Vuonna 2024 verotus laajeni myös PLI-tuotteisiin tarkoitettuihin aromeihin ja verotukseen kohdistui muutoksia, joten prosenttia ei tulkita myynti- tai volyymikasvuksi.</x:v>
      </x:c>
      <x:c r="D17" s="14" t="str">
        <x:v>https://www.adm.gov.it/portale/documents/20182/261920520/Libro+blu+2024+-+Relazione.pdf/e46989ce-b39f-a404-3b4b-2af3196cba43 ; source/ITALY_ADM_RESPONSE_BOUNDARY_2026-07-24.md</x:v>
      </x:c>
      <x:c r="E17" s="14" t="str">
        <x:v>2026-07-28</x:v>
      </x:c>
      <x:c r="F17" s="14" t="str">
        <x:v>Suora taulukkotoisto: 55 910 871,89 EUR vuonna 2023; 84 309 841,41 EUR vuonna 2024; ilmoitettu muutos 50,79 prosenttia.</x:v>
      </x:c>
      <x:c r="G17" s="14" t="str">
        <x:v>Verotuotto on fiskaalinen mittari. Sitä ei käännetä litroiksi tai vähittäisarvoksi ilman erillisiä verokantoja, luokkia, oikaisuja ja samaa rajausta.</x:v>
      </x:c>
      <x:c r="H17" s="14" t="str">
        <x:v>Vahvistettu</x:v>
      </x:c>
      <x:c r="I17" s="14" t="str">
        <x:v>Nikotiini- ja nikotiiniton jako, litrat, laitteet, kuluttajahinta, palautukset, maksujen ajoitus ja rajaukseltaan vertailukelpoinen sarja puuttuvat; Italia ei ole donor.</x:v>
      </x:c>
    </x:row>
    <x:row r="18" ht="58.5" customHeight="1">
      <x:c r="A18" s="14" t="str">
        <x:v>Julkinen markkina-aineisto sisältää 156 havaintoa 47 lähteestä; 134 virallista havaintoa jakautuvat 98 markkinamittariin ja 36 Ruotsin FHM-rekisterirakenteen lukuun.</x:v>
      </x:c>
      <x:c r="B18" s="14" t="str">
        <x:v>Markkinakoko</x:v>
      </x:c>
      <x:c r="C18" s="14" t="str">
        <x:v>Markkinamittarit kattavat Kanadan, Saksan, Suomen, Uuden-Seelannin, Puolan, Ruotsin ja Yhdysvallat. FHM-luvut kuvaavat vuosien 2018–2026 raportoivia toimijoita sekä ilmoitettuja, aktiivisia ja markkinoilta poistettuja tuotteita; ne eivät ole myyntiä tai markkina-arvoa.</x:v>
      </x:c>
      <x:c r="D18" s="14" t="str">
        <x:v>site/data/market-values.json (julkisen sivuston koneellisesti luettava lähdetiedosto)</x:v>
      </x:c>
      <x:c r="E18" s="14" t="str">
        <x:v>2026-07-27</x:v>
      </x:c>
      <x:c r="F18" s="14" t="str">
        <x:v>156 = 120 markkina- ja mallihavaintoa + 36 FHM-rakennelukua; 134 virallista = 98 markkinamittaria + 36 rakennelukua. Luokat pidetään erillään eikä niitä summata markkinaksi.</x:v>
      </x:c>
      <x:c r="G18" s="14" t="str">
        <x:v>Vuosien 2018–2025 luvut ovat viranomaisen vuosilabeleita, eivät oletettuja kalenterivuoden virtoja tai vuoden lopun tilannekuvia. Vuosi 2026 on tarkistushetken tilannekuva, ei valmis vuosijakso. Virallinen lähde ei tee eri mittareista yhteismitallisia.</x:v>
      </x:c>
      <x:c r="H18" s="14" t="str">
        <x:v>Vahvistettu</x:v>
      </x:c>
      <x:c r="I18" s="14" t="str">
        <x:v>Lisämaista tarvitaan yhteismitalliset vuotuiset laite- ja nestemäisen kuluttajavähittäisarvon sarjat.</x:v>
      </x:c>
    </x:row>
    <x:row r="19" ht="58.5" customHeight="1">
      <x:c r="A19" s="14" t="str">
        <x:v>Hyväksyttyjä virallisia koko vuoden kansallisia kuluttajavähittäisarvon luovuttajamarkkinoita on nolla.</x:v>
      </x:c>
      <x:c r="B19" s="14" t="str">
        <x:v>Markkinakoko</x:v>
      </x:c>
      <x:c r="C19" s="14" t="str">
        <x:v>comparableFullYearMarketValueDonors = 0. Viisi ehdokasta on julkaistu samaa kymmenen ehdon protokollaa vasten.</x:v>
      </x:c>
      <x:c r="D19" s="14" t="str">
        <x:v>site/data/market-values.json (modelReadiness, donorProtocol ja donorCandidates)</x:v>
      </x:c>
      <x:c r="E19" s="14" t="str">
        <x:v>2026-07-27</x:v>
      </x:c>
      <x:c r="F19" s="14" t="str">
        <x:v>Ehdokas tulee donor-lukuun vain, kun D1–D10 läpäisevät tarkistuksen; hylätty tai avoin ehto pitää sen luvun ulkopuolella.</x:v>
      </x:c>
      <x:c r="G19" s="14" t="str">
        <x:v>Virallisia alarajoja, institutionaalisia vertailuarvoja, toimitusarvoja, veroja, fyysisiä määriä ja malleja ei nimetä täydelliseksi kuluttajavähittäisarvoksi.</x:v>
      </x:c>
      <x:c r="H19" s="14" t="str">
        <x:v>Vahvistettu</x:v>
      </x:c>
      <x:c r="I19" s="14" t="str">
        <x:v>Tarvitaan vähintään kolme hyväksyttyä donoria sekä alue- ja sääntelytyyppien peitto.</x:v>
      </x:c>
    </x:row>
    <x:row r="20" ht="58.5" customHeight="1">
      <x:c r="A20" s="14" t="str">
        <x:v>Uuden-Seelannin vuoden 2024 erikoistuneiden sähkötupakkakauppiaiden myynniksi ilmoitettiin vähintään 280 milj. NZD.</x:v>
      </x:c>
      <x:c r="B20" s="14" t="str">
        <x:v>Markkinan koko</x:v>
      </x:c>
      <x:c r="C20" s="14" t="str">
        <x:v>Terveysministeriö julkaisee virallisen kuluttajavähittäismyynnin alarajan, joka perustuu vain puutteellisiin erikoistuneiden sähkötupakkakauppiaiden myynteihin. Yleisvähittäiskauppa puuttuu, viereisiä ilmoitusvelvollisia tuotteita sisältyy eikä ministeriö suosittele aineistoa perusteelliseen tutkimukseen.</x:v>
      </x:c>
      <x:c r="D20" s="14" t="str">
        <x:v>https://www.health.govt.nz/regulation-legislation/vaping-herbal-smoking-and-smokeless-tobacco/requirements/complete-a-notifiable-product-annual-return/annual-returns-2024</x:v>
      </x:c>
      <x:c r="E20" s="14" t="str">
        <x:v>2024</x:v>
      </x:c>
      <x:c r="F20" s="14" t="str">
        <x:v>Virallista vähintään-otsikkolukua käytetään suoraan; ei ekstrapolointia eikä muiden palautustyyppien yhteenlaskua.</x:v>
      </x:c>
      <x:c r="G20" s="14" t="str">
        <x:v>Luku on alaraja, ei koko maan sähkötupakkamarkkinan arvo.</x:v>
      </x:c>
      <x:c r="H20" s="14" t="str">
        <x:v>Vahvistettu</x:v>
      </x:c>
      <x:c r="I20" s="14" t="str">
        <x:v>Hanki täydellinen valtakunnallinen vain sähkötupakkatuotteita koskeva vähittäiskaupan koonti, GST-perusta ja riippumaton täsmäytys.</x:v>
      </x:c>
    </x:row>
    <x:row r="21" ht="58.5" customHeight="1">
      <x:c r="A21" s="14" t="str">
        <x:v>Uuden-Seelannin 29 virallisen vuoden 2024 XLSX-tiedoston 612 765 numeerisen Total sales -solun raakasumma on 280 684 512,81 NZD.</x:v>
      </x:c>
      <x:c r="B21" s="14" t="str">
        <x:v>Markkinan koko</x:v>
      </x:c>
      <x:c r="C21" s="14" t="str">
        <x:v>Raakasumma täsmää ministeriön vähintään 280 milj. NZD otsikkolukuun. Aineistossa on 95 144 täsmälleen toistuvaa riviallekirjoitusta; niiden ensimmäisen esiintymän jälkeinen poistaminen antaisi 264 561 055,05 NZD, mutta toistojen merkitystä ei ole vahvistettu.</x:v>
      </x:c>
      <x:c r="D21" s="14" t="str">
        <x:v>https://www.health.govt.nz/regulation-legislation/vaping-herbal-smoking-and-smokeless-tobacco/requirements/complete-a-notifiable-product-annual-return/annual-returns-2024 ; source/NZ_2024_ANNUAL_RETURNS_RECONCILIATION.md</x:v>
      </x:c>
      <x:c r="E21" s="14" t="str">
        <x:v>2026-07-24</x:v>
      </x:c>
      <x:c r="F21" s="14" t="str">
        <x:v>Kaikkien 29 virallisen XLSX-tiedoston numeeristen Total sales -solujen suora summa; ei deduplikointia, puhdistusta tai ekstrapolointia.</x:v>
      </x:c>
      <x:c r="G21" s="14" t="str">
        <x:v>Toistuvat rivit säilytetään raakasummassa, koska niiden liiketoiminnallista merkitystä ei tunneta.</x:v>
      </x:c>
      <x:c r="H21" s="14" t="str">
        <x:v>Tuettu</x:v>
      </x:c>
      <x:c r="I21" s="14" t="str">
        <x:v>Raakasumma ei ole puhdistettu kansallinen markkina-arvo. Yleisvähittäiskauppa, puuttuvat ilmoitukset ja GST-käsittely ovat avoimia.</x:v>
      </x:c>
    </x:row>
    <x:row r="22" ht="93" customHeight="1">
      <x:c r="A22" s="14" t="str">
        <x:v>Uuden-Seelannin vuoden 2024 AIS/AVP-erikoisvähittäiskaupan tunnistettu sähkötupakkasumma on 274 180 410,21 NZD; donor-testi läpäisee 7/10 ehtoa, mutta maa ei ole hyväksytty donor.</x:v>
      </x:c>
      <x:c r="B22" s="14" t="str">
        <x:v>Markkinakoko</x:v>
      </x:c>
      <x:c r="C22" s="14" t="str">
        <x:v>Kulutustarvikkeet ovat 189 402 451,96 NZD, laitteet/hardware 84 709 409,85 NZD ja sekajärjestelmät 68 548,40 NZD. Viereiset ilmoitusvelvolliset tuotteet 2 137 085,24 NZD ja ratkaisemattomat tuotetyypit 4 367 017,37 NZD määrällistetään erikseen ja rajataan pois. Havaittu arvo tulee vain AIS/AVP-työkirjoista; Notifier- ja RPS-arvoa ei lisätä.</x:v>
      </x:c>
      <x:c r="D22" s="14" t="str">
        <x:v>https://www.health.govt.nz/regulation-legislation/vaping-herbal-smoking-and-smokeless-tobacco/requirements/complete-a-notifiable-product-annual-return/annual-returns-2024 ; https://www.health.govt.nz/regulation-legislation/vaping-herbal-smoking-and-smokeless-tobacco/requirements/complete-a-notifiable-product-annual-return ; https://www.health.govt.nz/system/files/2025-11/notifiable-products-annual-sales-return-2025-user-guide.pdf ; source/NZ_2024_DONOR_CLOSURE_PACK.md ; source/NZ_2024_D8_D10_OFFICIAL_SOURCE_AUDIT.md ; source/NZ_DONOR_FOLLOWUP_PACK_2026-08-07.md ; source/NZ_2024_WORKBOOK_MANIFEST.json ; source/NZ_2024_PRODUCT_SCOPE_AUDIT.json ; scripts/analyze_nz_2024_returns.py</x:v>
      </x:c>
      <x:c r="E22" s="14" t="str">
        <x:v>2026-07-31</x:v>
      </x:c>
      <x:c r="F22" s="17" t="str">
        <x:v>189 402 451,96 + 84 709 409,85 + 68 548,40 = 274 180 410,21 NZD. Viereiset ja ratkaisemattomat luokat käsitellään ennen vaping-summaa ja jätetään siitä pois. Kaikkien 29 tiedoston URL:t, koot ja SHA-256-tiivisteet validoidaan ennen aggregointia.</x:v>
      </x:c>
      <x:c r="G22" s="14" t="str">
        <x:v>Deterministinen tuoterajaus on julkinen. RPS kerää tuotelajeja ja määriä mutta ei havaittua retail-arvoa. GST-perusta on tuntematon. Stats NZ:n lopullinen 2024 HS10 -kontrolli on tullivaiheen herkkyys eikä riippumaton retail-täsmäytys.</x:v>
      </x:c>
      <x:c r="H22" s="14" t="str">
        <x:v>Tuettu</x:v>
      </x:c>
      <x:c r="I22" s="14" t="str">
        <x:v>D5 hylätään puuttuvan kansallisen kanavapeiton vuoksi; D8:n GST-perusta ja D10:n riippumaton täsmäytys ovat avoimia. Donor-portti pysyy 0/3:ssa.</x:v>
      </x:c>
    </x:row>
    <x:row r="23" ht="58.5" customHeight="1">
      <x:c r="A23" s="14" t="str">
        <x:v>Stats NZ:n valittu vuoden 2024 HS10-kontrolli tuottaa 183 370 681 ja 197 070 322 NZD:n nettorajaproxyt; ne eivät ole vähittäismarkkina-arvoja.</x:v>
      </x:c>
      <x:c r="B23" s="14" t="str">
        <x:v>Markkinakoko</x:v>
      </x:c>
      <x:c r="C23" s="14" t="str">
        <x:v>Valitut tuonnit ovat 189 640 890 NZD tullausarvona ja 203 340 531 NZD CIF-arvona. Valitut viennit ovat 6 270 209 NZD FOB-arvona. Kontrolli käyttää lukittua vuoden 2024 tuotekoodisääntöä.</x:v>
      </x:c>
      <x:c r="D23" s="14" t="str">
        <x:v>https://www.stats.govt.nz/large-datasets/csv-files-for-download/overseas-merchandise-trade-datasets/ ; https://www3.stats.govt.nz/HS10_by_Country/2024_Imports_HS10.zip ; https://www3.stats.govt.nz/HS10_by_Country/2024_Exports_HS10.zip ; source/NZ_CA_DE_DONOR_CONTROL_SPRINT_2026-08-02.md</x:v>
      </x:c>
      <x:c r="E23" s="14" t="str">
        <x:v>2026-08-02</x:v>
      </x:c>
      <x:c r="F23" s="14" t="str">
        <x:v>189 640 890 − 6 270 209 = 183 370 681 NZD; 203 340 531 − 6 270 209 = 197 070 322 NZD. Ehdokas / proxyt = 1,495224911 ja 1,391282094.</x:v>
      </x:c>
      <x:c r="G23" s="14" t="str">
        <x:v>Rajavaihe, tuoterajaus, kotimainen tuotanto, varastot, jälleenvienti, katteet, kanavat, GST ja kuluttajamyynti eivät täsmää vähittäisrajaan.</x:v>
      </x:c>
      <x:c r="H23" s="14" t="str">
        <x:v>Vahvistettu</x:v>
      </x:c>
      <x:c r="I23" s="14" t="str">
        <x:v>Suhteet eivät ole kate, korotuskerroin, validointiväli tai markkinahaarukka. D10 pysyy avoinna ja NZ pysyy 7/10 EI HYVÄKSYTTY.</x:v>
      </x:c>
    </x:row>
    <x:row r="24" ht="58.5" customHeight="1">
      <x:c r="A24" s="14" t="str">
        <x:v>FTC:n virallisista taulukoista johdettu suljettujen järjestelmien ja kertakäyttötuotteiden raportoitu myynti oli 2 763 284 338 USD vuonna 2021.</x:v>
      </x:c>
      <x:c r="B24" s="14" t="str">
        <x:v>Markkinakoko</x:v>
      </x:c>
      <x:c r="C24" s="14" t="str">
        <x:v>Seitsemän vuoden 2015–2021 sarja on laskettu summaamalla vuosittain cartridge-system- ja disposable-rivit. Vuoden 2020 korjattu taulukko kattaa viisi aiempaa raportoijaa sekä kolme neljästä uudesta; vuosi 2021 kattaa kaikki yhdeksän vastaanottajaa.</x:v>
      </x:c>
      <x:c r="D24" s="14" t="str">
        <x:v>https://www.ftc.gov/reports/e-cigarette-report-2015-2018 ; https://www.ftc.gov/reports/e-cigarette-report-2021 ; source/US_FTC_2015_2021_REPORTED_SALES.md</x:v>
      </x:c>
      <x:c r="E24" s="14" t="str">
        <x:v>2021</x:v>
      </x:c>
      <x:c r="F24" s="14" t="str">
        <x:v>FTC-taulukoiden cartridge systems + disposable e-cigarettes -myynnin vuosittainen summa.</x:v>
      </x:c>
      <x:c r="G24" s="14" t="str">
        <x:v>Raportoijajoukko muuttuu, open-system-tuotteet puuttuvat, taso on valmistajaraportointi ja veroperustaa ei ilmoiteta.</x:v>
      </x:c>
      <x:c r="H24" s="14" t="str">
        <x:v>Tuettu</x:v>
      </x:c>
      <x:c r="I24" s="14" t="str">
        <x:v>Ei täydellinen kansallinen kuluttajavähittäisarvo eikä hyväksytty donor; tarvitaan avoin POS- tai kuluttajamyyntisarja ja veroperusta.</x:v>
      </x:c>
    </x:row>
    <x:row r="25" ht="58.5" customHeight="1">
      <x:c r="A25" s="14" t="str">
        <x:v>Saksan tuleva toimittajatesti DE-BLIND-1.0.0 lukittiin ennen tulevan toimituksen pisteytystä; testi on EI PISTEYTETTY.</x:v>
      </x:c>
      <x:c r="B25" s="14" t="str">
        <x:v>Markkinakoko / Saksa</x:v>
      </x:c>
      <x:c r="C25" s="14" t="str">
        <x:v>Viralliset lopulliset ankkurit ovat 1 241 000 litraa vuonna 2023 ja 1 284 000 litraa vuonna 2024 eli yhteensä 2 525 000 litraa. Ennalta rekisteröidyt rajat ovat 15 % vuodessa ja 10 % yhteensä.</x:v>
      </x:c>
      <x:c r="D25" s="14" t="str">
        <x:v>https://genesis.destatis.de/datenbank/online/statistic/73411/table/73411-0003/ ; source/NZ_CA_DE_DONOR_CONTROL_SPRINT_2026-08-02.md</x:v>
      </x:c>
      <x:c r="E25" s="14" t="str">
        <x:v>2026-08-02</x:v>
      </x:c>
      <x:c r="F25" s="14" t="str">
        <x:v>Vuotuinen poikkeama = |toimittajan litrat / viralliset litrat − 1|; yhteispoikkeama = |toimittajan kahden vuoden summa / 2 525 000 − 1|.</x:v>
      </x:c>
      <x:c r="G25" s="14" t="str">
        <x:v>Numeerinen osuma ei yksin osoita samaa tuotetta, yksikköä, veroperustaa, kanavaa tai tapahtumavaihetta. Rajoja ei soviteta yksityisiin arvoihin.</x:v>
      </x:c>
      <x:c r="H25" s="14" t="str">
        <x:v>Vahvistettu</x:v>
      </x:c>
      <x:c r="I25" s="14" t="str">
        <x:v>Testin läpäisy ei hyväksy Saksaa donoriksi eikä valtuuta ostoa, lisenssiä, maksua tai luovutusta. Saksan virallinen retail-arvo pysyy not_computed.</x:v>
      </x:c>
    </x:row>
    <x:row r="26" ht="58.5" customHeight="1">
      <x:c r="A26" s="14" t="str">
        <x:v>Julkinen sivusto erottaa kolme evidenssikaistaa ja estää maailman kokonaisarvon, kun hyväksytty donor-portti on 0/3.</x:v>
      </x:c>
      <x:c r="B26" s="14" t="str">
        <x:v>Markkinakoko</x:v>
      </x:c>
      <x:c r="C26" s="14" t="str">
        <x:v>Viisi ehdokasta on arvioitu samoilla 10 D1–D10-kriteerillä; yksikään ei ole hyväksytty. Lisäksi alue- ja sääntelytyyppien peittoporttien on läpäistävä tarkistus.</x:v>
      </x:c>
      <x:c r="D26" s="14" t="str">
        <x:v>site/data/evidence-lanes.json ; site/data/donor-cockpit.json ; site/data/third-donor-screen.json ; site/data/country-scenarios.json</x:v>
      </x:c>
      <x:c r="E26" s="14" t="str">
        <x:v>2026-08-02</x:v>
      </x:c>
      <x:c r="F26" s="14" t="str">
        <x:v>Fail-closed-portit: puuttuva tai virheellinen syöte tuottaa tilan not_computed eikä nollaa.</x:v>
      </x:c>
      <x:c r="G26" s="14" t="str">
        <x:v>Vain tarkistetut julkiset koontitiedot ja menetelmät ovat julkisella kaistalla; lisensoitu ja yksityinen aineisto eivät siirry repositorioon.</x:v>
      </x:c>
      <x:c r="H26" s="14" t="str">
        <x:v>Vahvistettu</x:v>
      </x:c>
      <x:c r="I26" s="14" t="str">
        <x:v>Maailmanarvo pysyy laskematta, kunnes vähintään kolme donoria sekä molemmat peittoportit hyväksytään.</x:v>
      </x:c>
    </x:row>
    <x:row r="27" ht="58.5" customHeight="1">
      <x:c r="A27" s="14" t="str">
        <x:v>Euroopan komissio julkaisee vuoden 2023 EU:n sähkötupakkamarkkinan 4,99 mrd euron vertailuarvon.</x:v>
      </x:c>
      <x:c r="B27" s="14" t="str">
        <x:v>Markkinan koko</x:v>
      </x:c>
      <x:c r="C27" s="14" t="str">
        <x:v>SWD(2026) 111:n fyysisen PDF:n sivun 25 alaviite 83 nimeää seuraavien sivujen taulukoiden lähteeksi Euromonitor International Tobacco 2025 -aineiston; fyysisen sivun 27 taulukko 4 raportoi 4,99 mrd euroa. SWD(2025) 560:n fyysinen sivu 161 kuvaa lähes 5 mrd euron koonnin, joka sisältää laitteet ja nesteet, myös nikotiinittomat; sivu 162 ilmoittaa Kyproksen, Luxemburgin ja Maltan tiedot puuttuviksi.</x:v>
      </x:c>
      <x:c r="D27" s="14" t="str">
        <x:v>https://eur-lex.europa.eu/legal-content/EN/TXT/?uri=SWD%3A2025%3A0560%3AFIN ; https://eur-lex.europa.eu/legal-content/EN/TXT/?uri=SWD%3A2026%3A111%3AFIN</x:v>
      </x:c>
      <x:c r="E27" s="14" t="str">
        <x:v>2023</x:v>
      </x:c>
      <x:c r="F27" s="14" t="str">
        <x:v>Kahden Euroopan komission valmisteluasiakirjan taulukko-, sivu- ja lähdeviitteiden ristiinvertailu; lukuja ei summata.</x:v>
      </x:c>
      <x:c r="G27" s="14" t="str">
        <x:v>Komissio julkaisee vertailuarvon, mutta sen pohjana on kaupallinen Euromonitor-aineisto. Täysi menetelmä, veroperusta ja uudelleenkäytettävä maadata eivät ole julkisia, ja kolmesta EU-maasta ei ole tietoa.</x:v>
      </x:c>
      <x:c r="H27" s="14" t="str">
        <x:v>Tuettu</x:v>
      </x:c>
      <x:c r="I27" s="14" t="str">
        <x:v>Hanki lisensoitu maataulukko ja menetelmä, tapahtumamääritelmä, kanavapeitto, veroperusta sekä riippumaton täsmäytys; täydennä Kypros, Luxemburg ja Malta.</x:v>
      </x:c>
    </x:row>
    <x:row r="28" ht="58.5" customHeight="1">
      <x:c r="A28" s="14" t="str">
        <x:v>Kanadan virallinen vuoden 2024 kuluttajavähittäismyynnin piste-estimaatti on 1 219 160 000 CAD eli 822 583 715,21 EUR; donor-testi läpäisee 7/10 ehtoa.</x:v>
      </x:c>
      <x:c r="B28" s="14" t="str">
        <x:v>Markkinakoko</x:v>
      </x:c>
      <x:c r="C28" s="14" t="str">
        <x:v>Neljän kvartaalin summa on 1 219 160 000 CAD; 12 kuukauden samaan kyselyyn perustuva summa on 1 219 161 000 CAD. Health Canadan vuoden 2024 valmistaja-/maahantuojatoimitusten nettoarvo on 1 160 753 796,78 CAD.</x:v>
      </x:c>
      <x:c r="D28" s="14" t="str">
        <x:v>https://www150.statcan.gc.ca/t1/tbl1/en/tv.action?pid=2010007101 ; https://www150.statcan.gc.ca/t1/tbl1/en/tv.action?pid=2010008001 ; https://health-infobase.canada.ca/substance-use/vaping/sales/ ; source/CANADA_2024_DONOR_CLOSURE_PACK.md ; source/CANADA_RCS_TAX_BASIS_CLARIFICATION_2026-07-29.md ; source/CANADA_RCS_SCOPE_QUALITY_CLARIFICATION_2026-07-30.md ; source/CANADA_2024_D5_D7_D10_OFFICIAL_SOURCE_AUDIT.md</x:v>
      </x:c>
      <x:c r="E28" s="14" t="str">
        <x:v>2026-07-31</x:v>
      </x:c>
      <x:c r="F28" s="14" t="str">
        <x:v>Kuukausi − kvartaali = 1 000 CAD (0,000082 %). Retail − toimitukset = 58 406 203,22 CAD; retail / toimitukset − 1 = 5,031748 %. ECB 2024: 1 219 160 000 / 1,482110546875 = 822 583 715,21 EUR.</x:v>
      </x:c>
      <x:c r="G28" s="14" t="str">
        <x:v>D8 läpäisee: tarkistetuille kvartaali-, kuukausi- ja arkistotaulukoille on vahvistettu CAD, GST/HST/PST/QST-verojen poissulku sekä hintaan upotettujen lisäverojen mukanaolo. Lisäveroihin voivat kuulua liittovaltion, lisä- ja provinssien vaping-verot. Kuukausireitti on saman kyselyn QA, ei D10.</x:v>
      </x:c>
      <x:c r="H28" s="14" t="str">
        <x:v>Tuettu</x:v>
      </x:c>
      <x:c r="I28" s="14" t="str">
        <x:v>D5 hylättiin, koska NAICS 459999 -erikoiskauppa jää vahvistetun kohdejoukon 441100–459993 ulkopuolelle; kehikkoon kuuluva verkkomyynti ei kata pois rajattuja erikois-, ulkomaisia suora- tai rajakauppakanavia. D7 hylättiin, koska täsmälliset NAPCS 5619122 -vastaus-, imputointi-, CV-, keskivirhe-, luottamusväli- ja kovarianssimittarit puuttuvat. D10 on avoin; Kanada ei ole hyväksytty donor.</x:v>
      </x:c>
    </x:row>
    <x:row r="29" ht="58.5" customHeight="1">
      <x:c r="A29" s="14" t="str">
        <x:v>Health Canadan neljä vuoden 2024 tuoteryhmää summautuvat 1 160 753 796,78 CAD:n nettotoimitusarvoon, 118 901 910 yksikköön ja 1 251 843 litraan.</x:v>
      </x:c>
      <x:c r="B29" s="14" t="str">
        <x:v>Markkinakoko</x:v>
      </x:c>
      <x:c r="C29" s="14" t="str">
        <x:v>Arvo-osuudet ovat: laite tai osa ilman ainetta 2,602 %, aineen sisältävä laite 48,154 %, aineen sisältävä osa 27,252 % ja höyrystettävä aine 21,992 %. Kyse on toimituksista tukku- tai vähittäismyyjille, ei kuluttajaostoista.</x:v>
      </x:c>
      <x:c r="D29" s="14" t="str">
        <x:v>https://health-infobase.canada.ca/substance-use/vaping/sales/ ; https://laws-lois.justice.gc.ca/eng/regulations/SOR-2023-123/FullText.html ; source/CANADA_2024_DONOR_CLOSURE_PACK.md</x:v>
      </x:c>
      <x:c r="E29" s="14" t="str">
        <x:v>2026-07-25</x:v>
      </x:c>
      <x:c r="F29" s="14" t="str">
        <x:v>30 207 822,87 + 558 947 200,26 + 316 329 158,83 + 255 269 614,82 = 1 160 753 796,78 CAD; osuudet lasketaan tästä summasta.</x:v>
      </x:c>
      <x:c r="G29" s="14" t="str">
        <x:v>Nettomyynti on myynti vähennettynä palautuksilla ja arvot ilmoitetaan ilman veroja ja maksuja. Nestettä sisältävä laite tai osa yhdistää laite- ja neste-arvoa.</x:v>
      </x:c>
      <x:c r="H29" s="14" t="str">
        <x:v>Vahvistettu</x:v>
      </x:c>
      <x:c r="I29" s="14" t="str">
        <x:v>Toimitusosuuksia ei saa soveltaa retail-arvoon laite–neste-jaoksi eikä eri tapahtumatasoja summata.</x:v>
      </x:c>
    </x:row>
    <x:row r="30" ht="58.5" customHeight="1">
      <x:c r="A30" s="14" t="str">
        <x:v>Saksan verotettu nestemäärä kasvoi 1.241 milj. l:sta 1.518 milj. l:aan vuosina 2023–2025.</x:v>
      </x:c>
      <x:c r="B30" s="14" t="str">
        <x:v>Markkinan koko</x:v>
      </x:c>
      <x:c r="C30" s="14" t="str">
        <x:v>2023 ja 2024 lopullisia; 2025 alustava.</x:v>
      </x:c>
      <x:c r="D30" s="14" t="str">
        <x:v>https://genesis.destatis.de/datenbank/online/statistic/73411/table/73411-0003</x:v>
      </x:c>
      <x:c r="E30" s="14" t="str">
        <x:v>2023–2025</x:v>
      </x:c>
      <x:c r="F30" s="14" t="str">
        <x:v>Destatis-taulukon nettomäärät, ei ekstrapolointia.</x:v>
      </x:c>
      <x:c r="G30" s="14" t="str">
        <x:v>Mittaa verotettua nestettä, ei laitteita tai laitonta myyntiä.</x:v>
      </x:c>
      <x:c r="H30" s="14" t="str">
        <x:v>Vahvistettu</x:v>
      </x:c>
      <x:c r="I30" s="14" t="str">
        <x:v>Vuoden 2025 lopullinen luku ja vähittäismyyntitiedot puuttuvat.</x:v>
      </x:c>
    </x:row>
    <x:row r="31" ht="58.5" customHeight="1">
      <x:c r="A31" s="14" t="str">
        <x:v>Saksan tupakankorvikkeiden valmisteverotulot olivat 404 milj. euroa vuonna 2025 (alustava).</x:v>
      </x:c>
      <x:c r="B31" s="14" t="str">
        <x:v>Markkinan koko</x:v>
      </x:c>
      <x:c r="C31" s="14" t="str">
        <x:v>Alustavat viralliset kassaperusteiset valmisteverotulot. Verotulo ei ole myyntituloa eikä vähittäismarkkina-arvoa.</x:v>
      </x:c>
      <x:c r="D31" s="14" t="str">
        <x:v>https://genesis.destatis.de/datenbank/online/statistic/73411/table/73411-0003</x:v>
      </x:c>
      <x:c r="E31" s="14" t="str">
        <x:v>2025</x:v>
      </x:c>
      <x:c r="F31" s="14" t="str">
        <x:v>Virallinen kassaperusteinen verohavainto.</x:v>
      </x:c>
      <x:c r="G31" s="14" t="str">
        <x:v>Verotulo ei ole myyntitulo tai vähittäismarkkina-arvo.</x:v>
      </x:c>
      <x:c r="H31" s="14" t="str">
        <x:v>Vahvistettu</x:v>
      </x:c>
      <x:c r="I31" s="14" t="str">
        <x:v>Tarvitaan lopullinen 2025 tilasto ja tuoteryhmäkohtainen veropohja.</x:v>
      </x:c>
    </x:row>
    <x:row r="32" ht="58.5" customHeight="1">
      <x:c r="A32" s="14" t="str">
        <x:v>Suomessa verotettiin 11 801,062 litraa nikotiininestettä vuonna 2025.</x:v>
      </x:c>
      <x:c r="B32" s="14" t="str">
        <x:v>Markkinan koko</x:v>
      </x:c>
      <x:c r="C32" s="14" t="str">
        <x:v>Virallinen koko vuoden nikotiinillisen sähkösavukenesteen määrä. Nikotiinittoman nesteen koko vuoden arvo on salattu; fyysinen määrä ei sisällä laitteita eikä ole vähittäismarkkina-arvo.</x:v>
      </x:c>
      <x:c r="D32" s="14" t="str">
        <x:v>https://vero2.stat.fi/PXWeb/api/v1/en/Vero/Valmistevero/vvt_010.px</x:v>
      </x:c>
      <x:c r="E32" s="14" t="str">
        <x:v>2025</x:v>
      </x:c>
      <x:c r="F32" s="14" t="str">
        <x:v>Verohallinnon PXWeb-havainto.</x:v>
      </x:c>
      <x:c r="G32" s="14" t="str">
        <x:v>Verotettu nikotiinineste ei kata koko sähkötupakkamarkkinaa.</x:v>
      </x:c>
      <x:c r="H32" s="14" t="str">
        <x:v>Vahvistettu</x:v>
      </x:c>
      <x:c r="I32" s="14" t="str">
        <x:v>Laitteet, nikotiinittomat tuotteet, veroton ja laiton kauppa puuttuvat.</x:v>
      </x:c>
    </x:row>
    <x:row r="33" ht="58.5" customHeight="1">
      <x:c r="A33" s="14" t="str">
        <x:v>Suomen nikotiininesteiden valmisteverotulot olivat 3 540 319 euroa vuonna 2025.</x:v>
      </x:c>
      <x:c r="B33" s="14" t="str">
        <x:v>Markkinan koko</x:v>
      </x:c>
      <x:c r="C33" s="14" t="str">
        <x:v>Viralliset koko vuoden nikotiinillisen sähkösavukenesteen valmisteverotulot. Nikotiinittoman nesteen koko vuoden arvo on salattu; verotulo ei ole myyntituloa eikä vähittäismarkkina-arvoa.</x:v>
      </x:c>
      <x:c r="D33" s="14" t="str">
        <x:v>https://vero2.stat.fi/PXWeb/api/v1/en/Vero/Valmistevero/vvt_010.px</x:v>
      </x:c>
      <x:c r="E33" s="14" t="str">
        <x:v>2025</x:v>
      </x:c>
      <x:c r="F33" s="14" t="str">
        <x:v>Verohallinnon PXWeb-havainto.</x:v>
      </x:c>
      <x:c r="G33" s="14" t="str">
        <x:v>Verotulo ei ole kuluttajamyynti.</x:v>
      </x:c>
      <x:c r="H33" s="14" t="str">
        <x:v>Vahvistettu</x:v>
      </x:c>
      <x:c r="I33" s="14" t="str">
        <x:v>Tarvitaan vähittäismyynti- ja hintadata.</x:v>
      </x:c>
    </x:row>
    <x:row r="34" ht="58.5" customHeight="1">
      <x:c r="A34" s="14" t="str">
        <x:v>Puolan virallinen sähkötupakkanesteiden virta oli 1 451 529 litraa vuonna 2020, 277 265 litraa vuonna 2021, 416 088 litraa vuonna 2022 ja 805 441 litraa vuonna 2023.</x:v>
      </x:c>
      <x:c r="B34" s="14" t="str">
        <x:v>Markkinakoko</x:v>
      </x:c>
      <x:c r="C34" s="14" t="str">
        <x:v>Ministeriön parlamenttivastauksen taulukko yhdistää ZEFIR2/AIS-järjestelmiin kirjatut kotimaan myynnit, EU-sisäiset hankinnat ja tuonnin. Sarja on fyysinen e-nestevirta, ei kuluttajamyynti tai havaittu vähittäismarkkina-arvo.</x:v>
      </x:c>
      <x:c r="D34" s="14" t="str">
        <x:v>https://api.sejm.gov.pl/sejm/term10/interpellations/attachment/ATTDDEJZ5/i07255-o1.pdf</x:v>
      </x:c>
      <x:c r="E34" s="14" t="str">
        <x:v>2020–2023</x:v>
      </x:c>
      <x:c r="F34" s="14" t="str">
        <x:v>Neljän virallisen vuosihavainnon suora toisto; eri vuosia ei summata markkina-arvoksi.</x:v>
      </x:c>
      <x:c r="G34" s="14" t="str">
        <x:v>Julkaistu taulukko ei erittele kotimaan myyntiä, EU-sisäisiä hankintoja ja tuontia eikä sisällä laitteiden arvoa.</x:v>
      </x:c>
      <x:c r="H34" s="14" t="str">
        <x:v>Vahvistettu</x:v>
      </x:c>
      <x:c r="I34" s="14" t="str">
        <x:v>Tarvitaan kuluttajavähittäisarvo, kanavapeitto, veroperusta ja riippumaton täsmäytys.</x:v>
      </x:c>
    </x:row>
    <x:row r="35" ht="58.5" customHeight="1">
      <x:c r="A35" s="14" t="str">
        <x:v>Puolan vuoden 2025 verosilta antaa 4 382 500 johdettua verollista laajan höyrystyslaiteryhmän yksikköä ja 62 500 johdettua verollista osasarjaa; luvut eivät ole sähkötupakkakohtaisia.</x:v>
      </x:c>
      <x:c r="B35" s="14" t="str">
        <x:v>Markkinakoko</x:v>
      </x:c>
      <x:c r="C35" s="14" t="str">
        <x:v>Virallinen parlamenttivastaus raportoi 993,1 milj. PLN e-nesteistä, 175,3 milj. PLN laajasta laiteryhmästä ja 2,5 milj. PLN osasarjoista. Lakisääteinen ryhmä sisältää uudelleentäytettävät sähkötupakat, kuumennettavan tupakan lämmittimet ja monitoimilaitteet. Vero oli 40 PLN yksiköltä 1.7.2025 alkaen.</x:v>
      </x:c>
      <x:c r="D35" s="14" t="str">
        <x:v>https://api.sejm.gov.pl/sejm/term10/interpellations/attachment/ATTDVKHSJ/i17526-o1.pdf ; https://www.podatki.gov.pl/akcyza/stawki-podatkowe/ ; https://www.podatki.gov.pl/akcyza/komunikaty-w-zakresie-podatku-akcyzowego ; https://api.sejm.gov.pl/eli/acts/DU/2025/698/text.pdf ; source/POLAND_D1_D10_PREASSESSMENT_2026-07-31.md</x:v>
      </x:c>
      <x:c r="E35" s="14" t="str">
        <x:v>2026-07-31</x:v>
      </x:c>
      <x:c r="F35" s="14" t="str">
        <x:v>175 300 000 / 40 = 4 382 500 laajan ryhmän verollista yksikköä; 2 500 000 / 40 = 62 500 verollista osasarjaa.</x:v>
      </x:c>
      <x:c r="G35" s="14" t="str">
        <x:v>Johdettu veropohja kattaa vain 1.7.2025 alkaen verotetut laitteet ja osasarjat. AKC-4/R vaatii laitetyypin erittelyn, mutta nykyinen julkinen koonti ei julkaise sitä. Luvut eivät osoita kuluttajahintaa, vähittäismyyntiä tai e-savukekohtaista määrää.</x:v>
      </x:c>
      <x:c r="H35" s="14" t="str">
        <x:v>Vahvistettu</x:v>
      </x:c>
      <x:c r="I35" s="14" t="str">
        <x:v>Tarvitaan AKC-4/R:n e-savuke–lämmitin–monitoimilaitejako, veron kuukausijakauma, vähittäishinnat, kanavapeitto ja riippumaton täsmäytys. Puolalle ei anneta donor-pistemäärää ilman maa–vuosi retail-arvoa.</x:v>
      </x:c>
    </x:row>
    <x:row r="36" ht="58.5" customHeight="1">
      <x:c r="A36" s="14" t="str">
        <x:v>Ruotsin julkinen evidenssi yhdistää vuoden 2024 veroankkurin ja 36 virallista FHM-rekisterirakenteen lukua vuosilta 2018–2026; rekisteriluvut eivät ole myyntiä tai markkina-arvoa.</x:v>
      </x:c>
      <x:c r="B36" s="14" t="str">
        <x:v>Markkinakoko</x:v>
      </x:c>
      <x:c r="C36" s="14" t="str">
        <x:v>Vuonna 2024 verotettiin 26 000 litraa nikotiininestettä ja valmisteverotulo oli pyöristetysti 80 000 000 SEK. Viranomaisen toimittamassa ja 24.7.2026 tarkistetussa työkirjassa on 9 vuosilabelia × 4 rakennemittaria: raportoivat toimijat sekä ilmoitetut, aktiiviset ja markkinoilta poistetut tuotteet. Julkinen FHM-sivu dokumentoi ilmoitusjärjestelmän, ei siinä julkaistua numeerista sarjaa.</x:v>
      </x:c>
      <x:c r="D36" s="14" t="str">
        <x:v>https://www.regeringen.se/contentassets/1ed01e00001b42e5ad8d47433db63ece/berakningskonventioner_2026.pdf ; https://www.folkhalsomyndigheten.se/regler-och-tillsyn/tobak-och-nikotinprodukter-regler-for-tillverkning-handel-och-hantering/elektroniska-cigaretter-och-pafyllningsbehallare-sa-foljer-du-reglerna/ ; site/data/market-values.json</x:v>
      </x:c>
      <x:c r="E36" s="14" t="str">
        <x:v>2026-07-24</x:v>
      </x:c>
      <x:c r="F36" s="14" t="str">
        <x:v>36 = 9 vuotta (2018–2026) × 4 rekisterirakenteen mittaria. Veroankkuri, 98 markkinamittaria ja 36 rakennelukua pidetään erillään.</x:v>
      </x:c>
      <x:c r="G36" s="14" t="str">
        <x:v>Rakenneluvuista ei päätellä myyntiarvoa, myyntimäärää tai markkinaosuutta. Vuosien 2018–2025 luvut ovat viranomaisen vuosilabeleita, eivät oletettuja vuosivirtoja tai vuoden lopun tilannekuvia. Vuosi 2026 on tarkistushetken tilannekuva eikä sitä vuositasoiteta.</x:v>
      </x:c>
      <x:c r="H36" s="14" t="str">
        <x:v>Vahvistettu</x:v>
      </x:c>
      <x:c r="I36" s="14" t="str">
        <x:v>Tarvitaan toteutunut kuluttajamyynti EUR-määräisenä, laitekappaleet ja ml-määrät sekä julkisesti uudelleenkäytettävä numeerinen FHM-sarja.</x:v>
      </x:c>
    </x:row>
    <x:row r="37" ht="58.5" customHeight="1">
      <x:c r="A37" s="14" t="str">
        <x:v>Kolme kaupallista vuoden 2025 globaaliarviota muodostavat 26,0–46,32 mrd USD haarukan.</x:v>
      </x:c>
      <x:c r="B37" s="14" t="str">
        <x:v>Markkinan koko</x:v>
      </x:c>
      <x:c r="C37" s="14" t="str">
        <x:v>IMARC 26,0; Grand View Research 45,7; Fortune Business Insights 46,32 mrd USD.</x:v>
      </x:c>
      <x:c r="D37" s="14" t="str">
        <x:v>https://www.imarcgroup.com/e-cigarette-market ; https://www.grandviewresearch.com/industry-analysis/e-cigarette-vaping-market ; https://www.fortunebusinessinsights.com/e-cigarette-and-vaping-market-114882</x:v>
      </x:c>
      <x:c r="E37" s="14" t="str">
        <x:v>2025</x:v>
      </x:c>
      <x:c r="F37" s="14" t="str">
        <x:v>Minimi 26000000000, maksimi 46320000000; arvioita verrataan, ei summata.</x:v>
      </x:c>
      <x:c r="G37" s="14" t="str">
        <x:v>Tuoterajaukset ja menetelmät eivät välttämättä ole yhteismitallisia.</x:v>
      </x:c>
      <x:c r="H37" s="14" t="str">
        <x:v>Tuettu</x:v>
      </x:c>
      <x:c r="I37" s="14" t="str">
        <x:v>Hanki raporttien täydet metodit ja harmonisoi tuoterajaus.</x:v>
      </x:c>
    </x:row>
    <x:row r="38" ht="58.5" customHeight="1">
      <x:c r="A38" s="14" t="str">
        <x:v>Saksan vuoden 2025 verotetun nesteen vähittäismyyntivastaavuuden mallihaitari on 667,92–1 654,62 milj. euroa.</x:v>
      </x:c>
      <x:c r="B38" s="14" t="str">
        <x:v>Taloudellinen malli</x:v>
      </x:c>
      <x:c r="C38" s="14" t="str">
        <x:v>Ei havaittua myyntiä. Laskelma kertoo vuoden 2025 alustavan verotetun nestemäärän kolmella yksittäisellä saksalaisen verkkokaupan vuoden 2026 hinnalla. Vuosiero, yhden kaupan hintakori, tuotejakauma ja pois rajatut tuoteryhmät tekevät luottamustasosta matalan.</x:v>
      </x:c>
      <x:c r="D38" s="14" t="str">
        <x:v>https://genesis.destatis.de/datenbank/online/statistic/73411/table/73411-0003 ; https://www.intaste.de/pfefferminz-liquid-germanflavours-liquid ; https://www.intaste.de/anstand-liquid-samurai-liquid ; https://www.intaste.de/tobacco-vanilla-nikotinsalz-revoltage-liquid</x:v>
      </x:c>
      <x:c r="E38" s="14" t="str">
        <x:v>2025 määrä / 2026 hinnat</x:v>
      </x:c>
      <x:c r="F38" s="14" t="str">
        <x:v>volume_litres * 1000 * retail_price_eur_per_ml</x:v>
      </x:c>
      <x:c r="G38" s="14" t="str">
        <x:v>Kolme yksittäistä verkkokauppahintaa; syötevuodet 2025 ja 2026; vain verotettu neste.</x:v>
      </x:c>
      <x:c r="H38" s="14" t="str">
        <x:v>Oletus</x:v>
      </x:c>
      <x:c r="I38" s="14" t="str">
        <x:v>Tarvitaan edustava hintakori, tuotemix ja kanavamarginaalit sekä mallivuoden 2025 hinnat.</x:v>
      </x:c>
    </x:row>
    <x:row r="39" ht="58.5" customHeight="1">
      <x:c r="A39" s="14" t="str">
        <x:v>Atlas ei ole vielä lainanantajavalmis markkina-arvio.</x:v>
      </x:c>
      <x:c r="B39" s="14" t="str">
        <x:v>Rahoitusteesi</x:v>
      </x:c>
      <x:c r="C39" s="14" t="str">
        <x:v>research_dataset_not_valuation: Useimmista maista puuttuu virallinen vuosittainen laite- ja nestemyynti Markkinaevidenssiä ei ole vielä sidottu maakohtaiseen patenttistatukseen ja claim charteihin Aineisto ei sisällä riippumatonta IVS-arvonmääritystä eikä realisoitunutta lisenssi- tai vahingonkorvauskassavirtaa</x:v>
      </x:c>
      <x:c r="D39" s="14" t="str">
        <x:v>site/data/atlas.json (readiness)</x:v>
      </x:c>
      <x:c r="E39" s="14" t="str">
        <x:v>2026-07-24</x:v>
      </x:c>
      <x:c r="F39" s="14" t="str">
        <x:v>Julkisen datasetin oma readiness-luokitus.</x:v>
      </x:c>
      <x:c r="G39" s="14" t="str">
        <x:v>Markkinadata ja IP-arvo pidetään erillään.</x:v>
      </x:c>
      <x:c r="H39" s="14" t="str">
        <x:v>Vahvistettu</x:v>
      </x:c>
      <x:c r="I39" s="14" t="str">
        <x:v>Täytä blocker-lista ennen vakuusarvo- tai yritysarvopäätelmää.</x:v>
      </x:c>
    </x:row>
    <x:row r="40" ht="58.5" customHeight="1">
      <x:c r="A40" s="14" t="str">
        <x:v>Julkinen aineisto ei sisällä riippumatonta IVS-arvonmääritystä.</x:v>
      </x:c>
      <x:c r="B40" s="14" t="str">
        <x:v>Taloudellinen malli</x:v>
      </x:c>
      <x:c r="C40" s="14" t="str">
        <x:v>Readiness-blocker ilmoittaa riippumattoman arvonmäärityksen puuttuvan.</x:v>
      </x:c>
      <x:c r="D40" s="14" t="str">
        <x:v>site/data/atlas.json (readiness.blockers)</x:v>
      </x:c>
      <x:c r="E40" s="14" t="str">
        <x:v>2026-07-24</x:v>
      </x:c>
      <x:c r="F40" s="14" t="str">
        <x:v>Aineiston puute.</x:v>
      </x:c>
      <x:c r="G40" s="14" t="str">
        <x:v>Ei oletuksia.</x:v>
      </x:c>
      <x:c r="H40" s="14" t="str">
        <x:v>Puuttuu</x:v>
      </x:c>
      <x:c r="I40" s="14" t="str">
        <x:v>Tilaa riippumaton IP- ja tarvittaessa yritysarvonmääritys skenaarioineen.</x:v>
      </x:c>
    </x:row>
    <x:row r="41" ht="58.5" customHeight="1">
      <x:c r="A41" s="14" t="str">
        <x:v>Julkinen aineisto ei osoita toteutunutta lisenssi- tai vahingonkorvauskassavirtaa.</x:v>
      </x:c>
      <x:c r="B41" s="14" t="str">
        <x:v>Kaupallistamismalli</x:v>
      </x:c>
      <x:c r="C41" s="14" t="str">
        <x:v>Readiness-blocker ilmoittaa realisoituneen kassavirran puuttuvan.</x:v>
      </x:c>
      <x:c r="D41" s="14" t="str">
        <x:v>site/data/atlas.json (readiness.blockers)</x:v>
      </x:c>
      <x:c r="E41" s="14" t="str">
        <x:v>2026-07-24</x:v>
      </x:c>
      <x:c r="F41" s="14" t="str">
        <x:v>Aineiston puute.</x:v>
      </x:c>
      <x:c r="G41" s="14" t="str">
        <x:v>Ei oletuksia.</x:v>
      </x:c>
      <x:c r="H41" s="14" t="str">
        <x:v>Puuttuu</x:v>
      </x:c>
      <x:c r="I41" s="14" t="str">
        <x:v>Lisää allekirjoitetut sopimukset, laskut, maksutositteet ja saamisten täsmäytys.</x:v>
      </x:c>
    </x:row>
    <x:row r="42" ht="58.5" customHeight="1">
      <x:c r="A42" s="14" t="str">
        <x:v>Julkinen aineisto ei vahvista testituloksia tai riippumatonta teknistä validointia.</x:v>
      </x:c>
      <x:c r="B42" s="14" t="str">
        <x:v>Tekninen erottautuminen</x:v>
      </x:c>
      <x:c r="C42" s="14" t="str">
        <x:v>Patenttiselitys kuvaa ratkaisun; erillistä testirekisteriä ei ole julkisessa datassa.</x:v>
      </x:c>
      <x:c r="D42" s="14" t="str">
        <x:v>site/data/patent-history.json</x:v>
      </x:c>
      <x:c r="E42" s="14" t="str">
        <x:v>2026-07-24</x:v>
      </x:c>
      <x:c r="F42" s="14" t="str">
        <x:v>Aineiston puute suhteessa tekniseen suorituskykyväitteeseen.</x:v>
      </x:c>
      <x:c r="G42" s="14" t="str">
        <x:v>Patenttijulkaisu ei ole tuotetestiraportti.</x:v>
      </x:c>
      <x:c r="H42" s="14" t="str">
        <x:v>Puuttuu</x:v>
      </x:c>
      <x:c r="I42" s="14" t="str">
        <x:v>Hanki testiprotokolla, riippumaton laboratorio, tulokset ja raakadata.</x:v>
      </x:c>
    </x:row>
    <x:row r="43" ht="58.5" customHeight="1">
      <x:c r="A43" s="14" t="str">
        <x:v>Julkinen aineisto ei vahvista piloteja tai nimettyä asiakasnäyttöä.</x:v>
      </x:c>
      <x:c r="B43" s="14" t="str">
        <x:v>Validointi</x:v>
      </x:c>
      <x:c r="C43" s="14" t="str">
        <x:v>Julkisessa evidenssirekisterissä ei ole pilotti- tai asiakasvalidointia.</x:v>
      </x:c>
      <x:c r="D43" s="14" t="str">
        <x:v>site/data/evidence.csv</x:v>
      </x:c>
      <x:c r="E43" s="14" t="str">
        <x:v>2026-07-24</x:v>
      </x:c>
      <x:c r="F43" s="14" t="str">
        <x:v>Aineiston puute.</x:v>
      </x:c>
      <x:c r="G43" s="14" t="str">
        <x:v>Ei päätellä asiakkaiden olemassaoloa tai puuttumista yhtiötasolla.</x:v>
      </x:c>
      <x:c r="H43" s="14" t="str">
        <x:v>Puuttuu</x:v>
      </x:c>
      <x:c r="I43" s="14" t="str">
        <x:v>Lisää allekirjoitetut pilotit, toimitusnäyttö, asiakasreferenssit ja käyttödata.</x:v>
      </x:c>
    </x:row>
    <x:row r="44" ht="58.5" customHeight="1">
      <x:c r="A44" s="14" t="str">
        <x:v>Julkinen aineisto ei vahvista nykyistä maakohtaista omistusta, vuosimaksuja ja rasitteettomuutta koko perheessä.</x:v>
      </x:c>
      <x:c r="B44" s="14" t="str">
        <x:v>IP-status</x:v>
      </x:c>
      <x:c r="C44" s="14" t="str">
        <x:v>Perhejulkaisut eivät yksin osoita kansallista post-grant-tilaa.</x:v>
      </x:c>
      <x:c r="D44" s="14" t="str">
        <x:v>https://register.epo.org/application?number=EP14836345&amp;lng=en&amp;tab=family ; https://register.epo.org/application?number=EP14836345&amp;lng=en&amp;tab=legal ; https://www.epo.org/en/applying/european/validation</x:v>
      </x:c>
      <x:c r="E44" s="14" t="str">
        <x:v>2026-07-24</x:v>
      </x:c>
      <x:c r="F44" s="14" t="str">
        <x:v>Diligence-rajaus.</x:v>
      </x:c>
      <x:c r="G44" s="14" t="str">
        <x:v>Neljä kansallista rekisterijurisdiktiota ei kata koko perhettä.</x:v>
      </x:c>
      <x:c r="H44" s="14" t="str">
        <x:v>Puuttuu</x:v>
      </x:c>
      <x:c r="I44" s="14" t="str">
        <x:v>Laadi asiamiehen allekirjoittama maamatriisi ja liitä tuoreet rekisteriotteet sekä maksukuitit.</x:v>
      </x:c>
    </x:row>
    <x:row r="45" ht="58.5" customHeight="1">
      <x:c r="A45" s="14" t="str">
        <x:v>Julkinen aineisto ei sisällä maakohtaisia tuote–vaatimusvertailuja.</x:v>
      </x:c>
      <x:c r="B45" s="14" t="str">
        <x:v>Tekninen erottautuminen</x:v>
      </x:c>
      <x:c r="C45" s="14" t="str">
        <x:v>Patenttihistorian guardrail edellyttää counsel-reviewed claim chartia.</x:v>
      </x:c>
      <x:c r="D45" s="14" t="str">
        <x:v>https://data.epo.org/publication-server/rest/v1.2/patents/EP3032975NWB2/document.pdf ; https://www.gesetze-bayern.de/Content/Document/Y-300-Z-BECKRS-B-2026-N-14206</x:v>
      </x:c>
      <x:c r="E45" s="14" t="str">
        <x:v>2026-07-24</x:v>
      </x:c>
      <x:c r="F45" s="14" t="str">
        <x:v>Vaatimuspiirteiden tuotekohtainen kartoitus puuttuu.</x:v>
      </x:c>
      <x:c r="G45" s="14" t="str">
        <x:v>Samankaltaisuus ei ole loukkaus.</x:v>
      </x:c>
      <x:c r="H45" s="14" t="str">
        <x:v>Puuttuu</x:v>
      </x:c>
      <x:c r="I45" s="14" t="str">
        <x:v>Hanki tuotteet, säilytä hallussapitoketju, tee teardown ja asiamiehen tarkastama claim chart.</x:v>
      </x:c>
    </x:row>
    <x:row r="46" ht="58.5" customHeight="1">
      <x:c r="A46" s="14" t="str">
        <x:v>Markkinan kokonaisarvo ei ole automaattisesti rojaltipohja.</x:v>
      </x:c>
      <x:c r="B46" s="14" t="str">
        <x:v>Taloudellinen malli</x:v>
      </x:c>
      <x:c r="C46" s="14" t="str">
        <x:v>Patenttihistorian kaupallistamisrajaus erottaa markkinan, kohdistettavan myynnin ja kassavirran.</x:v>
      </x:c>
      <x:c r="D46" s="14" t="str">
        <x:v>https://www.wipo.int/en/web/business/ip-valuation</x:v>
      </x:c>
      <x:c r="E46" s="14" t="str">
        <x:v>2026-07-24</x:v>
      </x:c>
      <x:c r="F46" s="14" t="str">
        <x:v>Arvonmäärityksen perusrajaus.</x:v>
      </x:c>
      <x:c r="G46" s="14" t="str">
        <x:v>Rojaltipohja vaatii patentin maantieteellisen, ajallisen ja tuotekohtaisen osuvuuden.</x:v>
      </x:c>
      <x:c r="H46" s="14" t="str">
        <x:v>Vahvistettu</x:v>
      </x:c>
      <x:c r="I46" s="14" t="str">
        <x:v>Tarvitaan addressable/in-scope/claim-mapped sales -silta.</x:v>
      </x:c>
    </x:row>
    <x:row r="47" ht="58.5" customHeight="1">
      <x:c r="A47" s="14" t="str">
        <x:v>Patenttiarvo, yritysarvo, osakearvo ja vakuusarvo ovat eri mittareita.</x:v>
      </x:c>
      <x:c r="B47" s="14" t="str">
        <x:v>Rahoitusteesi</x:v>
      </x:c>
      <x:c r="C47" s="14" t="str">
        <x:v>WIPO:n IP-arvonmääritys- ja rahoituskehys sekä aineiston oma guardrail.</x:v>
      </x:c>
      <x:c r="D47" s="14" t="str">
        <x:v>https://www.wipo.int/en/web/business/ip-valuation ; https://www.wipo.int/en/web/ip-financing</x:v>
      </x:c>
      <x:c r="E47" s="14" t="str">
        <x:v>2026-07-24</x:v>
      </x:c>
      <x:c r="F47" s="14" t="str">
        <x:v>Arvokäsitteiden erottelu.</x:v>
      </x:c>
      <x:c r="G47" s="14" t="str">
        <x:v>Ei oletuksia.</x:v>
      </x:c>
      <x:c r="H47" s="14" t="str">
        <x:v>Vahvistettu</x:v>
      </x:c>
      <x:c r="I47" s="14" t="str">
        <x:v>Rahoitusrakenne ja vakuusarvo vaativat erillisen oikeudellisen ja taloudellisen analyysin.</x:v>
      </x:c>
    </x:row>
    <x:row r="48" ht="58.5" customHeight="1">
      <x:c r="A48" s="14" t="str">
        <x:v>Asiantuntijavetoinen rajattu lisensointi- tai sovintopilotti on mahdollinen kaupallistamishypoteesi.</x:v>
      </x:c>
      <x:c r="B48" s="14" t="str">
        <x:v>Kaupallistamismalli</x:v>
      </x:c>
      <x:c r="C48" s="14" t="str">
        <x:v>Patenttihistorian vaiheistus suosittelee kovia portteja, claim chartia ja auditoitavaa yhteydenottoa.</x:v>
      </x:c>
      <x:c r="D48" s="14" t="str">
        <x:v>https://www.wipo.int/ja/web/business/assignment-licensing ; https://www.wipo.int/en/web/business/settle-ip-disputes ; https://www.epo.org/en/searching-for-patents/business/ipscore</x:v>
      </x:c>
      <x:c r="E48" s="14" t="str">
        <x:v>2026-07-24</x:v>
      </x:c>
      <x:c r="F48" s="14" t="str">
        <x:v>Hypoteesi, ei toteutunut kaupallinen näyttö.</x:v>
      </x:c>
      <x:c r="G48" s="14" t="str">
        <x:v>Kohdemaat ja vastapuolet valitaan vasta oikeus- ja evidenssiporttien jälkeen.</x:v>
      </x:c>
      <x:c r="H48" s="14" t="str">
        <x:v>Oletus</x:v>
      </x:c>
      <x:c r="I48" s="14" t="str">
        <x:v>Hyväksytä pilottimalli johdolla ja patenttiasiantuntijalla; dokumentoi kustannus, vasteet ja termit.</x:v>
      </x:c>
    </x:row>
    <x:row r="49" ht="58.5" customHeight="1">
      <x:c r="A49" s="14" t="str">
        <x:v>Patenttivakuudellinen rahoitus on arvioitava vain vahvistettujen oikeuksien ja kassavirtojen pohjalta.</x:v>
      </x:c>
      <x:c r="B49" s="14" t="str">
        <x:v>Rahoitusteesi</x:v>
      </x:c>
      <x:c r="C49" s="14" t="str">
        <x:v>WIPO IP Finance ja patenttihistorian vaihe 5.</x:v>
      </x:c>
      <x:c r="D49" s="14" t="str">
        <x:v>https://www.wipo.int/en/web/ip-financing ; https://www.wipo.int/en/web/business/ip-valuation</x:v>
      </x:c>
      <x:c r="E49" s="14" t="str">
        <x:v>2026-07-24</x:v>
      </x:c>
      <x:c r="F49" s="14" t="str">
        <x:v>Rahoitusperiaate.</x:v>
      </x:c>
      <x:c r="G49" s="14" t="str">
        <x:v>Ei näyttöä olemassa olevasta vakuusarvosta.</x:v>
      </x:c>
      <x:c r="H49" s="14" t="str">
        <x:v>Tuettu</x:v>
      </x:c>
      <x:c r="I49" s="14" t="str">
        <x:v>Tarvitaan riippumaton arvonmääritys, oikeuksien due diligence, toteutuneet tai sopimuspohjaiset kassavirrat ja downside-analyysi.</x:v>
      </x:c>
    </x:row>
    <x:row r="50" ht="58.5" customHeight="1">
      <x:c r="A50" s="14" t="str">
        <x:v>Australian oikeuden seuraava uusiminen on vahvistettava välittömästi.</x:v>
      </x:c>
      <x:c r="B50" s="14" t="str">
        <x:v>Riskit</x:v>
      </x:c>
      <x:c r="C50" s="14" t="str">
        <x:v>IP Australian API näyttää GRANTED-tilan, viimeisen uusimismaksun 18.7.2025 ja in-force date -päivän 14.8.2026.</x:v>
      </x:c>
      <x:c r="D50" s="14" t="str">
        <x:v>https://production.api.ipaustralia.gov.au/public/ipright-search-api/v1/patents/2014307829</x:v>
      </x:c>
      <x:c r="E50" s="14" t="str">
        <x:v>2026-08-14</x:v>
      </x:c>
      <x:c r="F50" s="14" t="str">
        <x:v>Virallisen API-tiedon diligence-hälytys.</x:v>
      </x:c>
      <x:c r="G50" s="14" t="str">
        <x:v>API:n in-force-through-päivä ei ole tässä lakisääteinen eräpäiväväite.</x:v>
      </x:c>
      <x:c r="H50" s="14" t="str">
        <x:v>Vahvistettu</x:v>
      </x:c>
      <x:c r="I50" s="14" t="str">
        <x:v>Patenttihallinto ja Australian asiamies: vahvistakaa lakisääteinen maksupäivä, summa, maksuvaltuus ja suoritettu maksu; arkistoikaa kuitti ja tuore rekisteriote.</x:v>
      </x:c>
    </x:row>
    <x:row r="51" ht="58.5" customHeight="1">
      <x:c r="A51" s="14" t="str">
        <x:v>Suomen 14. vuosimaksun eräpäiväksi on rekisteröity 31.8.2026.</x:v>
      </x:c>
      <x:c r="B51" s="14" t="str">
        <x:v>Riskit</x:v>
      </x:c>
      <x:c r="C51" s="14" t="str">
        <x:v>PRH kirjaa 14. vuoden 670 euron maksun eräpäiväksi 31.8.2026 ja myöhäisen maksukauden päättymispäiväksi 28.2.2027.</x:v>
      </x:c>
      <x:c r="D51" s="14" t="str">
        <x:v>https://patenttitietopalvelu.prh.fi/en/patent/20135829</x:v>
      </x:c>
      <x:c r="E51" s="14" t="str">
        <x:v>2026-08-31</x:v>
      </x:c>
      <x:c r="F51" s="14" t="str">
        <x:v>PRH:n rekisterihavainto.</x:v>
      </x:c>
      <x:c r="G51" s="14" t="str">
        <x:v>Tavoite on maksaa normaalina eräpäivänä.</x:v>
      </x:c>
      <x:c r="H51" s="14" t="str">
        <x:v>Vahvistettu</x:v>
      </x:c>
      <x:c r="I51" s="14" t="str">
        <x:v>Patenttihallinto: maksakaa ennen normaalia eräpäivää ja säilyttäkää maksukuitti sekä päivitetty PRH-ote.</x:v>
      </x:c>
    </x:row>
    <x:row r="52" ht="58.5" customHeight="1">
      <x:c r="A52" s="14" t="str">
        <x:v>Yhdysvaltain 7,5 vuoden ylläpitomaksun tila on vahvistettava.</x:v>
      </x:c>
      <x:c r="B52" s="14" t="str">
        <x:v>Riskit</x:v>
      </x:c>
      <x:c r="C52" s="14" t="str">
        <x:v>USPTO:n ylläpitomaksureitti näyttää normaalimaksuikkunan päättyvän 4.12.2026; maksutilaa ei vahvistettu riippumattomasti tässä julkaisussa.</x:v>
      </x:c>
      <x:c r="D52" s="14" t="str">
        <x:v>https://fees.uspto.gov/MaintenanceFees/fees/details?patentNumber=10306923 ; https://patentcenter.uspto.gov/applications/14911851 ; https://assignment.uspto.gov/patent/index.html#/patent/search/resultFilter?searchInput=10306923</x:v>
      </x:c>
      <x:c r="E52" s="14" t="str">
        <x:v>2026-12-04</x:v>
      </x:c>
      <x:c r="F52" s="14" t="str">
        <x:v>Virallisen maksuikkunan tarkistus.</x:v>
      </x:c>
      <x:c r="G52" s="14" t="str">
        <x:v>Julkaisu ei väitä, että maksu on tai ei ole suoritettu.</x:v>
      </x:c>
      <x:c r="H52" s="14" t="str">
        <x:v>Vahvistettu</x:v>
      </x:c>
      <x:c r="I52" s="14" t="str">
        <x:v>Yhdysvaltain patenttiasiamies: vahvistakaa entity status, summa ja maksu sekä arkistoikaa virallinen kuitti ja tuoreet ylläpito- ja siirtotiedot.</x:v>
      </x:c>
    </x:row>
    <x:row r="53" ht="58.5" customHeight="1">
      <x:c r="A53" s="14" t="str">
        <x:v>Julkinen aineisto ei sisällä auditoituja historiallisia tilinpäätöksiä tai kassavirtaennustetta.</x:v>
      </x:c>
      <x:c r="B53" s="14" t="str">
        <x:v>Taloudellinen malli</x:v>
      </x:c>
      <x:c r="C53" s="14" t="str">
        <x:v>Markkina- ja patenttiaineisto ei ole yhtiön talousaineisto.</x:v>
      </x:c>
      <x:c r="D53" s="14" t="str">
        <x:v>Julkisen paketin rajaus</x:v>
      </x:c>
      <x:c r="E53" s="14" t="str">
        <x:v>2026-07-24</x:v>
      </x:c>
      <x:c r="F53" s="14" t="str">
        <x:v>Aineiston puute.</x:v>
      </x:c>
      <x:c r="G53" s="14" t="str">
        <x:v>Yhtiön taloudellisesta tilanteesta ei tehdä päätelmää.</x:v>
      </x:c>
      <x:c r="H53" s="14" t="str">
        <x:v>Puuttuu</x:v>
      </x:c>
      <x:c r="I53" s="14" t="str">
        <x:v>Lisää 3–5 vuoden tilinpäätökset, tuore pääkirja, budjetti, kassavirta, velat ja verovelkatodistus.</x:v>
      </x:c>
    </x:row>
    <x:row r="54" ht="58.5" customHeight="1">
      <x:c r="A54" s="14" t="str">
        <x:v>Julkinen aineisto ei yksilöi rahoitustarvetta, käyttötarkoitusta tai takaisinmaksulähdettä.</x:v>
      </x:c>
      <x:c r="B54" s="14" t="str">
        <x:v>Rahoitusteesi</x:v>
      </x:c>
      <x:c r="C54" s="14" t="str">
        <x:v>Rahoitusparametreja ei ole markkina- tai patenttidatassa.</x:v>
      </x:c>
      <x:c r="D54" s="14" t="str">
        <x:v>Julkisen paketin rajaus</x:v>
      </x:c>
      <x:c r="E54" s="14" t="str">
        <x:v>2026-07-24</x:v>
      </x:c>
      <x:c r="F54" s="14" t="str">
        <x:v>Aineiston puute.</x:v>
      </x:c>
      <x:c r="G54" s="14" t="str">
        <x:v>Ei oleteta lainamäärää, maturiteettia tai vakuusrakennetta.</x:v>
      </x:c>
      <x:c r="H54" s="14" t="str">
        <x:v>Puuttuu</x:v>
      </x:c>
      <x:c r="I54" s="14" t="str">
        <x:v>Määritä lainamäärä, käyttötarkoitus, maturiteetti, lyhennysprofiili, takaisinmaksu ja kovenantit.</x:v>
      </x:c>
    </x:row>
    <x:row r="55" ht="58.5" customHeight="1">
      <x:c r="A55" s="14" t="str">
        <x:v>Julkinen aineisto ei osoita osakekantaa, cap tablea tai osakkeiden rasitteita.</x:v>
      </x:c>
      <x:c r="B55" s="14" t="str">
        <x:v>Rahoitusteesi</x:v>
      </x:c>
      <x:c r="C55" s="14" t="str">
        <x:v>Julkinen paketti on rajattu markkina- ja patenttievidenssiin.</x:v>
      </x:c>
      <x:c r="D55" s="14" t="str">
        <x:v>Julkisen paketin rajaus</x:v>
      </x:c>
      <x:c r="E55" s="14" t="str">
        <x:v>2026-07-24</x:v>
      </x:c>
      <x:c r="F55" s="14" t="str">
        <x:v>Aineiston puute.</x:v>
      </x:c>
      <x:c r="G55" s="14" t="str">
        <x:v>Ei oleteta omistusosuuksia tai vakuuskelpoisuutta.</x:v>
      </x:c>
      <x:c r="H55" s="14" t="str">
        <x:v>Puuttuu</x:v>
      </x:c>
      <x:c r="I55" s="14" t="str">
        <x:v>Toimita varmennettu osakasluettelo, yhtiöjärjestys, päätökset, panttaus- ja rasiteselvitys suljettuun datahuoneeseen.</x:v>
      </x:c>
    </x:row>
    <x:row r="56" ht="58.5" customHeight="1">
      <x:c r="A56" s="14" t="str">
        <x:v>Julkinen aineisto ei sisällä vertailukelpoista kilpailija- ja vaihtoehtoanalyysiä.</x:v>
      </x:c>
      <x:c r="B56" s="14" t="str">
        <x:v>Kilpailu</x:v>
      </x:c>
      <x:c r="C56" s="14" t="str">
        <x:v>Patenttiselitys ja oikeustapaukset eivät yksin muodosta markkinakilpailukarttaa.</x:v>
      </x:c>
      <x:c r="D56" s="14" t="str">
        <x:v>site/data/patent-history.json</x:v>
      </x:c>
      <x:c r="E56" s="14" t="str">
        <x:v>2026-07-24</x:v>
      </x:c>
      <x:c r="F56" s="14" t="str">
        <x:v>Aineiston puute.</x:v>
      </x:c>
      <x:c r="G56" s="14" t="str">
        <x:v>Kilpailu on erotettava patenttien päällekkäisyydestä ja ei-patentoiduista vaihtoehdoista.</x:v>
      </x:c>
      <x:c r="H56" s="14" t="str">
        <x:v>Puuttuu</x:v>
      </x:c>
      <x:c r="I56" s="14" t="str">
        <x:v>Laadi tuotteet, valmistajat, vaihtoehtoiset teknologiat, patenttiperheet, hinnat ja claim-map-status kattava vertailu.</x:v>
      </x:c>
    </x:row>
    <x:row r="57" ht="58.5" customHeight="1">
      <x:c r="A57" s="14" t="str">
        <x:v>Asiakassegmentit voidaan alustavasti jäsentää valmistajiin, teknologiatoimittajiin ja IP-rahoittajiin.</x:v>
      </x:c>
      <x:c r="B57" s="14" t="str">
        <x:v>Asiakkaat</x:v>
      </x:c>
      <x:c r="C57" s="14" t="str">
        <x:v>Patenttihistorian kaupallistamisreitit sisältävät lisensoinnin, luovutuksen ja IP-rahoituksen.</x:v>
      </x:c>
      <x:c r="D57" s="14" t="str">
        <x:v>https://www.wipo.int/ja/web/business/assignment-licensing ; https://www.wipo.int/en/web/ip-financing</x:v>
      </x:c>
      <x:c r="E57" s="14" t="str">
        <x:v>2026-07-24</x:v>
      </x:c>
      <x:c r="F57" s="14" t="str">
        <x:v>Segmentointihypoteesi kaupallistamisreiteistä.</x:v>
      </x:c>
      <x:c r="G57" s="14" t="str">
        <x:v>Ei todennettua ostoaikomusta tai asiakaskantaa.</x:v>
      </x:c>
      <x:c r="H57" s="14" t="str">
        <x:v>Oletus</x:v>
      </x:c>
      <x:c r="I57" s="14" t="str">
        <x:v>Validoi 10–15 strukturoitua ostaja- ja rahoittajahaastattelua sekä dokumentoi päätöskriteerit.</x:v>
      </x:c>
    </x:row>
    <x:row r="58" ht="58.5" customHeight="1">
      <x:c r="A58" s="14" t="str">
        <x:v>Saksan ratkaisut voivat toimia evidenssiankkurina, mutta eivät maailmanlaajuisena loukkausratkaisuna.</x:v>
      </x:c>
      <x:c r="B58" s="14" t="str">
        <x:v>Rahoitusteesi</x:v>
      </x:c>
      <x:c r="C58" s="14" t="str">
        <x:v>Ratkaisut ovat kansallisia, tuote-, osapuoli- ja ajanjaksokohtaisia.</x:v>
      </x:c>
      <x:c r="D58" s="14" t="str">
        <x:v>https://www.rechtsprechung-im-internet.de/jportal/?quelle=jlink&amp;docid=JURE269032275&amp;psml=bsjrsprod.psml ; https://www.gesetze-bayern.de/Content/Document/Y-300-Z-BECKRS-B-2026-N-14206</x:v>
      </x:c>
      <x:c r="E58" s="14" t="str">
        <x:v>2026-07-24</x:v>
      </x:c>
      <x:c r="F58" s="14" t="str">
        <x:v>Oikeudellisen vaikutuksen alueellinen rajaus.</x:v>
      </x:c>
      <x:c r="G58" s="14" t="str">
        <x:v>Muiden maiden tulokset riippuvat paikallisista oikeuksista ja tuotteista.</x:v>
      </x:c>
      <x:c r="H58" s="14" t="str">
        <x:v>Vahvistettu</x:v>
      </x:c>
      <x:c r="I58" s="14" t="str">
        <x:v>Laadi maakohtaiset oikeus- ja claim chart -paketit ennen yhteydenottoja.</x:v>
      </x:c>
    </x:row>
    <x:row r="59" ht="58.5" customHeight="1">
      <x:c r="A59" s="14" t="str">
        <x:v>Aineiston A-luokan maita on viisi, mutta 158 maata on D-luokassa.</x:v>
      </x:c>
      <x:c r="B59" s="14" t="str">
        <x:v>Markkinan koko</x:v>
      </x:c>
      <x:c r="C59" s="14" t="str">
        <x:v>Luokat: A 5, B 13, C 19, D 158.</x:v>
      </x:c>
      <x:c r="D59" s="14" t="str">
        <x:v>site/data/atlas.json (summary.gradeCounts)</x:v>
      </x:c>
      <x:c r="E59" s="14" t="str">
        <x:v>2026-07-24</x:v>
      </x:c>
      <x:c r="F59" s="14" t="str">
        <x:v>Maakohtaisten evidenssiluokkien laskenta.</x:v>
      </x:c>
      <x:c r="G59" s="14" t="str">
        <x:v>Luokka mittaa evidenssikypsyyttä, ei markkinan houkuttelevuutta.</x:v>
      </x:c>
      <x:c r="H59" s="14" t="str">
        <x:v>Vahvistettu</x:v>
      </x:c>
      <x:c r="I59" s="14" t="str">
        <x:v>Priorisoi D-maiden tietopyynnöt talouskoon, patenttistatuksen ja sääntelyn mukaan.</x:v>
      </x:c>
    </x:row>
    <x:row r="60" ht="58.5" customHeight="1">
      <x:c r="A60" s="14" t="str">
        <x:v>Maailmanlaajuista atlasestimaattia ei ole hyväksytty julkaistavaksi.</x:v>
      </x:c>
      <x:c r="B60" s="14" t="str">
        <x:v>Markkinakoko</x:v>
      </x:c>
      <x:c r="C60" s="14" t="str">
        <x:v>Nolla hyväksyttyä donoria alittaa kolmen vähimmäisrajan. Uuden-Seelannin, EU:n, Kanadan, Saksan ja Yhdysvaltain 5 julkaistulla ehdokkaalla on jokaisella vähintään yksi hylätty tai avoin D1–D10-ehto; myös alue- ja sääntelytyyppien peittoportit puuttuvat.</x:v>
      </x:c>
      <x:c r="D60" s="14" t="str">
        <x:v>site/data/market-values.json (modelReadiness, donorProtocol ja donorCandidates)</x:v>
      </x:c>
      <x:c r="E60" s="14" t="str">
        <x:v>2026-07-27</x:v>
      </x:c>
      <x:c r="F60" s="14" t="str">
        <x:v>Kova portti: jokaisen donorin on läpäistävä D1–D10, ja lisäksi tarvitaan vähintään kolme yhteensopivaa donoria sekä molemmat peittoportit.</x:v>
      </x:c>
      <x:c r="G60" s="14" t="str">
        <x:v>Viralliset alarajat ja ulkoiset vertailuarvot säilyvät ristiintarkistuksina, mutta niitä ei lasketa hyväksytyiksi donoreiksi.</x:v>
      </x:c>
      <x:c r="H60" s="14" t="str">
        <x:v>Vahvistettu</x:v>
      </x:c>
      <x:c r="I60" s="14" t="str">
        <x:v>Älä julkaise yhtä maailmanarvoa ennen menetelmäporttien läpäisyä.</x:v>
      </x:c>
    </x:row>
    <x:row r="61" ht="58.5" customHeight="1">
      <x:c r="A61" s="15" t="str">
        <x:v>Korkean luottamuksen rahoituspaketti vaatii suljetun datahuoneen julkisen paketin rinnalle.</x:v>
      </x:c>
      <x:c r="B61" s="15" t="str">
        <x:v>Seuraavat vaiheet</x:v>
      </x:c>
      <x:c r="C61" s="15" t="str">
        <x:v>Julkinen paketti osoittaa lähteet ja puutteet mutta ei sisällä luottamuksellista talous-, sopimus- tai omistusaineistoa.</x:v>
      </x:c>
      <x:c r="D61" s="15" t="str">
        <x:v>Julkisen paketin rajaus</x:v>
      </x:c>
      <x:c r="E61" s="15" t="str">
        <x:v>2026-07-24</x:v>
      </x:c>
      <x:c r="F61" s="15" t="str">
        <x:v>Diligence-arkkitehtuurin suositus.</x:v>
      </x:c>
      <x:c r="G61" s="15" t="str">
        <x:v>Pääsy rajataan ja lokitetaan.</x:v>
      </x:c>
      <x:c r="H61" s="15" t="str">
        <x:v>Tuettu</x:v>
      </x:c>
      <x:c r="I61" s="15" t="str">
        <x:v>Perusta indeksoitu datahuone: Corporate, IP, Legal, Commercial, Finance, Valuation, Security.</x:v>
      </x:c>
    </x:row>
  </x:sheetData>
  <x:conditionalFormatting sqref="H2:H61">
    <x:cfRule type="containsText" dxfId="0" priority="1" operator="containsText" text="Vahvistettu"/>
    <x:cfRule type="containsText" dxfId="1" priority="2" operator="containsText" text="Tuettu"/>
    <x:cfRule type="containsText" dxfId="2" priority="3" operator="containsText" text="Oletus"/>
    <x:cfRule type="containsText" dxfId="3" priority="4" operator="containsText" text="Puuttuu"/>
  </x:conditionalFormatting>
  <x:dataValidations count="1">
    <x:dataValidation type="list" sqref="H2:H61">
      <x:formula1>"Vahvistettu,Tuettu,Oletus,Puuttuu"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b7c46ce2af94a9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80" hidden="0" customWidth="1"/>
    <x:col min="3" max="3" width="8.890000343322754" hidden="0" customWidth="1"/>
    <x:col min="4" max="4" width="8.890000343322754" hidden="0" customWidth="1"/>
    <x:col min="5" max="5" width="8.890000343322754" hidden="0" customWidth="1"/>
    <x:col min="6" max="6" width="8.890000343322754" hidden="0" customWidth="1"/>
    <x:col min="7" max="7" width="8.890000343322754" hidden="0" customWidth="1"/>
    <x:col min="8" max="8" width="8.890000343322754" hidden="0" customWidth="1"/>
  </x:cols>
  <x:sheetData>
    <x:row r="1" ht="25.5" customHeight="1">
      <x:c r="A1" s="20" t="str">
        <x:v>Pixan · evidenssipaketin yhteenveto</x:v>
      </x:c>
      <x:c r="B1" s="20"/>
      <x:c r="C1" s="20"/>
      <x:c r="D1" s="20"/>
      <x:c r="E1" s="20"/>
      <x:c r="F1" s="20"/>
      <x:c r="G1" s="20"/>
      <x:c r="H1" s="20"/>
    </x:row>
    <x:row r="2" ht="25.5" customHeight="1">
      <x:c r="A2" s="20"/>
      <x:c r="B2" s="20"/>
      <x:c r="C2" s="20"/>
      <x:c r="D2" s="20"/>
      <x:c r="E2" s="20"/>
      <x:c r="F2" s="20"/>
      <x:c r="G2" s="20"/>
      <x:c r="H2" s="20"/>
    </x:row>
    <x:row r="3" ht="28.5" customHeight="1">
      <x:c r="A3" s="25" t="str">
        <x:v>Riippumaton julkinen evidenssikooste. Ei Pixan Oy:n virallinen kanta; ei tilintarkastus, arvonmääritys, oikeudellinen lausunto, sijoitussuositus tai lainasuositus.</x:v>
      </x:c>
      <x:c r="B3" s="25"/>
      <x:c r="C3" s="25"/>
      <x:c r="D3" s="25"/>
      <x:c r="E3" s="25"/>
      <x:c r="F3" s="25"/>
      <x:c r="G3" s="25"/>
      <x:c r="H3" s="25"/>
    </x:row>
    <x:row r="5" ht="20.25" customHeight="1">
      <x:c r="A5" s="29" t="str">
        <x:v>Versio</x:v>
      </x:c>
      <x:c r="B5" s="13" t="str">
        <x:v>2026.08.02-41</x:v>
      </x:c>
    </x:row>
    <x:row r="6" ht="20.25" customHeight="1">
      <x:c r="A6" s="29" t="str">
        <x:v>Päivitetty</x:v>
      </x:c>
      <x:c r="B6" s="14" t="str">
        <x:v>2026-08-02</x:v>
      </x:c>
    </x:row>
    <x:row r="7" ht="31.5" customHeight="1">
      <x:c r="A7" s="29" t="str">
        <x:v>Rajaus</x:v>
      </x:c>
      <x:c r="B7" s="14" t="str">
        <x:v>Julkinen ja riippumaton evidenssikooste; faktat, laskelmat, tulkinnat ja oletukset on erotettu.</x:v>
      </x:c>
    </x:row>
    <x:row r="8" ht="20.25" customHeight="1">
      <x:c r="A8" s="29" t="str">
        <x:v>Evidenssirivejä</x:v>
      </x:c>
      <x:c r="B8" s="15" t="n">
        <x:f>COUNTA('Evidence Register'!$A$2:$A$61)</x:f>
        <x:v>60</x:v>
      </x:c>
    </x:row>
    <x:row r="9" ht="20.25" customHeight="1"/>
    <x:row r="10" ht="20.25" customHeight="1">
      <x:c r="A10" s="31" t="str">
        <x:v>Evidenssin jakauma</x:v>
      </x:c>
      <x:c r="B10" s="31"/>
    </x:row>
    <x:row r="11" ht="20.25" customHeight="1">
      <x:c r="A11" s="36" t="str">
        <x:v>Vahvistettu</x:v>
      </x:c>
      <x:c r="B11" s="13" t="n">
        <x:f>COUNTIF('Evidence Register'!$H$2:$H$61,A11)</x:f>
        <x:v>36</x:v>
      </x:c>
    </x:row>
    <x:row r="12" ht="20.25" customHeight="1">
      <x:c r="A12" s="37" t="str">
        <x:v>Tuettu</x:v>
      </x:c>
      <x:c r="B12" s="14" t="n">
        <x:f>COUNTIF('Evidence Register'!$H$2:$H$61,A12)</x:f>
        <x:v>11</x:v>
      </x:c>
    </x:row>
    <x:row r="13" ht="20.25" customHeight="1">
      <x:c r="A13" s="38" t="str">
        <x:v>Oletus</x:v>
      </x:c>
      <x:c r="B13" s="14" t="n">
        <x:f>COUNTIF('Evidence Register'!$H$2:$H$61,A13)</x:f>
        <x:v>3</x:v>
      </x:c>
    </x:row>
    <x:row r="14" ht="20.25" customHeight="1">
      <x:c r="A14" s="39" t="str">
        <x:v>Puuttuu</x:v>
      </x:c>
      <x:c r="B14" s="15" t="n">
        <x:f>COUNTIF('Evidence Register'!$H$2:$H$61,A14)</x:f>
        <x:v>10</x:v>
      </x:c>
    </x:row>
    <x:row r="15" ht="20.25" customHeight="1"/>
    <x:row r="16" ht="20.25" customHeight="1"/>
    <x:row r="17" ht="20.25" customHeight="1">
      <x:c r="A17" s="31" t="str">
        <x:v>Kolme vahvinta rahoitusperustetta</x:v>
      </x:c>
      <x:c r="B17" s="31"/>
    </x:row>
    <x:row r="18" ht="28.5" customHeight="1">
      <x:c r="A18" s="13" t="n">
        <x:v>1</x:v>
      </x:c>
      <x:c r="B18" s="13" t="str">
        <x:v>EPO piti patentin voimassa muutetussa muodossa, ja B2-julkaisu on jäljitettävissä virallisiin lähteisiin.</x:v>
      </x:c>
    </x:row>
    <x:row r="19" ht="28.5" customHeight="1">
      <x:c r="A19" s="14" t="n">
        <x:v>2</x:v>
      </x:c>
      <x:c r="B19" s="14" t="str">
        <x:v>Saksa tarjoaa viralliset mitättömyys- ja loukkausratkaisut niiden selvästi rajatuissa puitteissa.</x:v>
      </x:c>
    </x:row>
    <x:row r="20" ht="28.5" customHeight="1">
      <x:c r="A20" s="15" t="n">
        <x:v>3</x:v>
      </x:c>
      <x:c r="B20" s="15" t="str">
        <x:v>Julkinen markkina-aineisto erottaa viralliset havainnot, proxyt, mallit ja puutteet näkyvästi.</x:v>
      </x:c>
    </x:row>
    <x:row r="21" ht="20.25" customHeight="1"/>
    <x:row r="22" ht="20.25" customHeight="1"/>
    <x:row r="23" ht="20.25" customHeight="1">
      <x:c r="A23" s="31" t="str">
        <x:v>Neljä korjausta pankkikelpoisuuteen</x:v>
      </x:c>
      <x:c r="B23" s="31"/>
    </x:row>
    <x:row r="24" ht="27" customHeight="1">
      <x:c r="A24" s="13" t="n">
        <x:v>1</x:v>
      </x:c>
      <x:c r="B24" s="13" t="str">
        <x:v>Asianajajan allekirjoittama oikeus-, omistus-, rasite- ja vuosimaksumatriisi.</x:v>
      </x:c>
    </x:row>
    <x:row r="25" ht="27" customHeight="1">
      <x:c r="A25" s="14" t="n">
        <x:v>2</x:v>
      </x:c>
      <x:c r="B25" s="14" t="str">
        <x:v>Riippumattomat testit ja claim chartit priorisoiduille tuotteille.</x:v>
      </x:c>
    </x:row>
    <x:row r="26" ht="27" customHeight="1">
      <x:c r="A26" s="14" t="n">
        <x:v>3</x:v>
      </x:c>
      <x:c r="B26" s="14" t="str">
        <x:v>Toteutunut tai sopimuspohjainen kassavirta ja tarkastetut taloustiedot.</x:v>
      </x:c>
    </x:row>
    <x:row r="27" ht="27" customHeight="1">
      <x:c r="A27" s="15" t="n">
        <x:v>4</x:v>
      </x:c>
      <x:c r="B27" s="15" t="str">
        <x:v>Riippumaton arvonmääritys ja vakuuden downside-analyysi.</x:v>
      </x:c>
    </x:row>
  </x:sheetData>
  <x:mergeCells>
    <x:mergeCell ref="A1:H2"/>
    <x:mergeCell ref="A3:H3"/>
    <x:mergeCell ref="A10:B10"/>
    <x:mergeCell ref="A17:B17"/>
    <x:mergeCell ref="A23:B2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5600004196167" hidden="0" customWidth="1"/>
    <x:col min="2" max="2" width="47.779998779296875" hidden="0" customWidth="1"/>
    <x:col min="3" max="3" width="44.439998626708984" hidden="0" customWidth="1"/>
    <x:col min="4" max="4" width="25.559999465942383" hidden="0" customWidth="1"/>
  </x:cols>
  <x:sheetData>
    <x:row r="1" ht="31.5" customHeight="1">
      <x:c r="A1" s="40" t="str">
        <x:v>Prioriteetti</x:v>
      </x:c>
      <x:c r="B1" s="5" t="str">
        <x:v>Todennäköinen kysymys</x:v>
      </x:c>
      <x:c r="C1" s="5" t="str">
        <x:v>Tarvittava näyttö</x:v>
      </x:c>
      <x:c r="D1" s="5" t="str">
        <x:v>Nykytila</x:v>
      </x:c>
    </x:row>
    <x:row r="2" ht="40.5" customHeight="1">
      <x:c r="A2" s="41" t="n">
        <x:v>1</x:v>
      </x:c>
      <x:c r="B2" s="13" t="str">
        <x:v>Mitä tarkalleen omistetaan ja missä oikeus on käytettävissä?</x:v>
      </x:c>
      <x:c r="C2" s="13" t="str">
        <x:v>Maakohtainen oikeusmatriisi</x:v>
      </x:c>
      <x:c r="D2" s="13" t="str">
        <x:v>Kattavasti puuttuu</x:v>
      </x:c>
    </x:row>
    <x:row r="3" ht="40.5" customHeight="1">
      <x:c r="A3" s="42" t="n">
        <x:v>2</x:v>
      </x:c>
      <x:c r="B3" s="14" t="str">
        <x:v>Mikä tuote täyttää mitkä patenttivaatimuksen rajat?</x:v>
      </x:c>
      <x:c r="C3" s="14" t="str">
        <x:v>Riippumaton testi ja claim chart</x:v>
      </x:c>
      <x:c r="D3" s="14" t="str">
        <x:v>Rajallinen Saksan näyttö</x:v>
      </x:c>
    </x:row>
    <x:row r="4" ht="40.5" customHeight="1">
      <x:c r="A4" s="42" t="n">
        <x:v>3</x:v>
      </x:c>
      <x:c r="B4" s="14" t="str">
        <x:v>Mitkä ovat varmennetut relevantit myynnit?</x:v>
      </x:c>
      <x:c r="C4" s="14" t="str">
        <x:v>Tuote–maa–aika-nettomyynti</x:v>
      </x:c>
      <x:c r="D4" s="14" t="str">
        <x:v>Puuttuu</x:v>
      </x:c>
    </x:row>
    <x:row r="5" ht="40.5" customHeight="1">
      <x:c r="A5" s="42" t="n">
        <x:v>4</x:v>
      </x:c>
      <x:c r="B5" s="14" t="str">
        <x:v>Mistä ja milloin velanhoitokassa syntyy?</x:v>
      </x:c>
      <x:c r="C5" s="14" t="str">
        <x:v>Sopimukset, maksut ja ennuste</x:v>
      </x:c>
      <x:c r="D5" s="14" t="str">
        <x:v>Puuttuu</x:v>
      </x:c>
    </x:row>
    <x:row r="6" ht="40.5" customHeight="1">
      <x:c r="A6" s="43" t="n">
        <x:v>5</x:v>
      </x:c>
      <x:c r="B6" s="15" t="str">
        <x:v>Mitä vakuudesta realisoidaan downside-tilanteessa?</x:v>
      </x:c>
      <x:c r="C6" s="15" t="str">
        <x:v>Riippumaton arvo ja realisointipolku</x:v>
      </x:c>
      <x:c r="D6" s="15" t="str">
        <x:v>Puuttuu</x:v>
      </x:c>
    </x:row>
  </x:sheetData>
  <x:pageMargins left="0.7" right="0.7" top="0.75" bottom="0.75" header="0.3" footer="0.3"/>
  <x:tableParts count="1">
    <x:tablePart xmlns:r="http://schemas.openxmlformats.org/officeDocument/2006/relationships" r:id="Redea25e6cf804d4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559999465942383" hidden="0" customWidth="1"/>
    <x:col min="2" max="2" width="33.33000183105469" hidden="0" customWidth="1"/>
    <x:col min="3" max="3" width="21.110000610351562" hidden="0" customWidth="1"/>
    <x:col min="4" max="4" width="66.66999816894531" hidden="0" customWidth="1"/>
    <x:col min="5" max="5" width="17.780000686645508" hidden="0" customWidth="1"/>
  </x:cols>
  <x:sheetData>
    <x:row r="1" ht="31.5" customHeight="1">
      <x:c r="A1" s="5" t="str">
        <x:v>Lähdetunnus</x:v>
      </x:c>
      <x:c r="B1" s="5" t="str">
        <x:v>Julkaisija</x:v>
      </x:c>
      <x:c r="C1" s="5" t="str">
        <x:v>Lähdeluokka</x:v>
      </x:c>
      <x:c r="D1" s="5" t="str">
        <x:v>URL</x:v>
      </x:c>
      <x:c r="E1" s="5" t="str">
        <x:v>Haettu / data-ajankohta</x:v>
      </x:c>
    </x:row>
    <x:row r="2" ht="31.5" customHeight="1">
      <x:c r="A2" s="13" t="str">
        <x:v>CA-HC-VAPING-SALES-2024</x:v>
      </x:c>
      <x:c r="B2" s="13" t="str">
        <x:v>Health Canada</x:v>
      </x:c>
      <x:c r="C2" s="13" t="str">
        <x:v>official</x:v>
      </x:c>
      <x:c r="D2" s="13" t="str">
        <x:v>https://health-infobase.canada.ca/substance-use/vaping/sales/</x:v>
      </x:c>
      <x:c r="E2" s="13" t="str">
        <x:v>2026-07-22</x:v>
      </x:c>
    </x:row>
    <x:row r="3" ht="31.5" customHeight="1">
      <x:c r="A3" s="14" t="str">
        <x:v>CNIPA-PUBLIC-QUERY-GUIDANCE</x:v>
      </x:c>
      <x:c r="B3" s="14" t="str">
        <x:v>China National Intellectual Property Administration</x:v>
      </x:c>
      <x:c r="C3" s="14" t="str">
        <x:v>official_guidance</x:v>
      </x:c>
      <x:c r="D3" s="14" t="str">
        <x:v>https://www.cnipa.gov.cn/jact/front/mailpubdetail.do?sysid=16&amp;transactId=495563</x:v>
      </x:c>
      <x:c r="E3" s="14" t="str">
        <x:v>2026-07-22</x:v>
      </x:c>
    </x:row>
    <x:row r="4" ht="31.5" customHeight="1">
      <x:c r="A4" s="14" t="str">
        <x:v>CNIPA-REEXAMINATION-GUIDANCE</x:v>
      </x:c>
      <x:c r="B4" s="14" t="str">
        <x:v>China National Intellectual Property Administration</x:v>
      </x:c>
      <x:c r="C4" s="14" t="str">
        <x:v>official_guidance</x:v>
      </x:c>
      <x:c r="D4" s="14" t="str">
        <x:v>https://www.cnipa.gov.cn/art/2020/6/5/art_1517_92474.html</x:v>
      </x:c>
      <x:c r="E4" s="14" t="str">
        <x:v>2026-07-22</x:v>
      </x:c>
    </x:row>
    <x:row r="5" ht="31.5" customHeight="1">
      <x:c r="A5" s="14" t="str">
        <x:v>DE-BPATG-8NI18-24</x:v>
      </x:c>
      <x:c r="B5" s="14" t="str">
        <x:v>Bundespatentgericht / German federal legal-information service</x:v>
      </x:c>
      <x:c r="C5" s="14" t="str">
        <x:v>official_judgment</x:v>
      </x:c>
      <x:c r="D5" s="14" t="str">
        <x:v>https://www.rechtsprechung-im-internet.de/jportal/?quelle=jlink&amp;docid=JURE269032275&amp;psml=bsjrsprod.psml</x:v>
      </x:c>
      <x:c r="E5" s="14" t="str">
        <x:v>2026-07-22</x:v>
      </x:c>
    </x:row>
    <x:row r="6" ht="31.5" customHeight="1">
      <x:c r="A6" s="14" t="str">
        <x:v>DE-DESTATIS-73411-0003</x:v>
      </x:c>
      <x:c r="B6" s="14" t="str">
        <x:v>Statistisches Bundesamt (Destatis)</x:v>
      </x:c>
      <x:c r="C6" s="14" t="str">
        <x:v>official</x:v>
      </x:c>
      <x:c r="D6" s="14" t="str">
        <x:v>https://genesis.destatis.de/datenbank/online/statistic/73411/table/73411-0003</x:v>
      </x:c>
      <x:c r="E6" s="14" t="str">
        <x:v>2026-07-22</x:v>
      </x:c>
    </x:row>
    <x:row r="7" ht="31.5" customHeight="1">
      <x:c r="A7" s="14" t="str">
        <x:v>DE-LGMUC-7O3341-24</x:v>
      </x:c>
      <x:c r="B7" s="14" t="str">
        <x:v>Landgericht München I / Bavarian legal-information service</x:v>
      </x:c>
      <x:c r="C7" s="14" t="str">
        <x:v>official_judgment</x:v>
      </x:c>
      <x:c r="D7" s="14" t="str">
        <x:v>https://www.gesetze-bayern.de/Content/Document/Y-300-Z-BECKRS-B-2026-N-14206</x:v>
      </x:c>
      <x:c r="E7" s="14" t="str">
        <x:v>2026-07-22</x:v>
      </x:c>
    </x:row>
    <x:row r="8" ht="31.5" customHeight="1">
      <x:c r="A8" s="14" t="str">
        <x:v>EPO-B1-SPECIFICATION</x:v>
      </x:c>
      <x:c r="B8" s="14" t="str">
        <x:v>European Patent Office</x:v>
      </x:c>
      <x:c r="C8" s="14" t="str">
        <x:v>official_patent_publication</x:v>
      </x:c>
      <x:c r="D8" s="14" t="str">
        <x:v>https://data.epo.org/publication-server/rest/v1.2/patents/EP3032975NWB1/document.pdf</x:v>
      </x:c>
      <x:c r="E8" s="14" t="str">
        <x:v>2026-07-22</x:v>
      </x:c>
    </x:row>
    <x:row r="9" ht="31.5" customHeight="1">
      <x:c r="A9" s="14" t="str">
        <x:v>EPO-B2-SPECIFICATION</x:v>
      </x:c>
      <x:c r="B9" s="14" t="str">
        <x:v>European Patent Office</x:v>
      </x:c>
      <x:c r="C9" s="14" t="str">
        <x:v>official_patent_publication</x:v>
      </x:c>
      <x:c r="D9" s="14" t="str">
        <x:v>https://data.epo.org/publication-server/rest/v1.2/patents/EP3032975NWB2/document.pdf</x:v>
      </x:c>
      <x:c r="E9" s="14" t="str">
        <x:v>2026-07-22</x:v>
      </x:c>
    </x:row>
    <x:row r="10" ht="31.5" customHeight="1">
      <x:c r="A10" s="14" t="str">
        <x:v>EPO-IPSCORE</x:v>
      </x:c>
      <x:c r="B10" s="14" t="str">
        <x:v>European Patent Office</x:v>
      </x:c>
      <x:c r="C10" s="14" t="str">
        <x:v>official_guidance</x:v>
      </x:c>
      <x:c r="D10" s="14" t="str">
        <x:v>https://www.epo.org/en/searching-for-patents/business/ipscore</x:v>
      </x:c>
      <x:c r="E10" s="14" t="str">
        <x:v>2026-07-22</x:v>
      </x:c>
    </x:row>
    <x:row r="11" ht="31.5" customHeight="1">
      <x:c r="A11" s="14" t="str">
        <x:v>EPO-NATIONAL-VALIDATION</x:v>
      </x:c>
      <x:c r="B11" s="14" t="str">
        <x:v>European Patent Office</x:v>
      </x:c>
      <x:c r="C11" s="14" t="str">
        <x:v>official_guidance</x:v>
      </x:c>
      <x:c r="D11" s="14" t="str">
        <x:v>https://www.epo.org/en/applying/european/validation</x:v>
      </x:c>
      <x:c r="E11" s="14" t="str">
        <x:v>2026-07-22</x:v>
      </x:c>
    </x:row>
    <x:row r="12" ht="31.5" customHeight="1">
      <x:c r="A12" s="14" t="str">
        <x:v>EPO-REGISTER-DOCLIST</x:v>
      </x:c>
      <x:c r="B12" s="14" t="str">
        <x:v>European Patent Office</x:v>
      </x:c>
      <x:c r="C12" s="14" t="str">
        <x:v>official_register_documents</x:v>
      </x:c>
      <x:c r="D12" s="14" t="str">
        <x:v>https://register.epo.org/application?number=EP14836345&amp;lng=en&amp;tab=doclist</x:v>
      </x:c>
      <x:c r="E12" s="14" t="str">
        <x:v>2026-07-22</x:v>
      </x:c>
    </x:row>
    <x:row r="13" ht="31.5" customHeight="1">
      <x:c r="A13" s="14" t="str">
        <x:v>EPO-REGISTER-EVENT</x:v>
      </x:c>
      <x:c r="B13" s="14" t="str">
        <x:v>European Patent Office</x:v>
      </x:c>
      <x:c r="C13" s="14" t="str">
        <x:v>official_register</x:v>
      </x:c>
      <x:c r="D13" s="14" t="str">
        <x:v>https://register.epo.org/application?number=EP14836345&amp;lng=en&amp;tab=event</x:v>
      </x:c>
      <x:c r="E13" s="14" t="str">
        <x:v>2026-07-22</x:v>
      </x:c>
    </x:row>
    <x:row r="14" ht="31.5" customHeight="1">
      <x:c r="A14" s="14" t="str">
        <x:v>EPO-REGISTER-FAMILY</x:v>
      </x:c>
      <x:c r="B14" s="14" t="str">
        <x:v>European Patent Office</x:v>
      </x:c>
      <x:c r="C14" s="14" t="str">
        <x:v>official_family_register</x:v>
      </x:c>
      <x:c r="D14" s="14" t="str">
        <x:v>https://register.epo.org/application?number=EP14836345&amp;lng=en&amp;tab=family</x:v>
      </x:c>
      <x:c r="E14" s="14" t="str">
        <x:v>2026-07-22</x:v>
      </x:c>
    </x:row>
    <x:row r="15" ht="31.5" customHeight="1">
      <x:c r="A15" s="14" t="str">
        <x:v>EPO-REGISTER-LEGAL</x:v>
      </x:c>
      <x:c r="B15" s="14" t="str">
        <x:v>European Patent Office</x:v>
      </x:c>
      <x:c r="C15" s="14" t="str">
        <x:v>official_register_route</x:v>
      </x:c>
      <x:c r="D15" s="14" t="str">
        <x:v>https://register.epo.org/application?number=EP14836345&amp;lng=en&amp;tab=legal</x:v>
      </x:c>
      <x:c r="E15" s="14" t="str">
        <x:v>2026-07-22</x:v>
      </x:c>
    </x:row>
    <x:row r="16" ht="31.5" customHeight="1">
      <x:c r="A16" s="14" t="str">
        <x:v>EPO-REGISTER-MAIN</x:v>
      </x:c>
      <x:c r="B16" s="14" t="str">
        <x:v>European Patent Office</x:v>
      </x:c>
      <x:c r="C16" s="14" t="str">
        <x:v>official_register</x:v>
      </x:c>
      <x:c r="D16" s="14" t="str">
        <x:v>https://register.epo.org/application?number=EP14836345&amp;lng=en&amp;tab=main</x:v>
      </x:c>
      <x:c r="E16" s="14" t="str">
        <x:v>2026-07-22</x:v>
      </x:c>
    </x:row>
    <x:row r="17" ht="31.5" customHeight="1">
      <x:c r="A17" s="14" t="str">
        <x:v>EU-BRUSSELS-I-BIS</x:v>
      </x:c>
      <x:c r="B17" s="14" t="str">
        <x:v>European Union / EUR-Lex</x:v>
      </x:c>
      <x:c r="C17" s="14" t="str">
        <x:v>official_legislation</x:v>
      </x:c>
      <x:c r="D17" s="14" t="str">
        <x:v>https://eur-lex.europa.eu/legal-content/en/TXT/?uri=CELEX%3A32012R1215</x:v>
      </x:c>
      <x:c r="E17" s="14" t="str">
        <x:v>2026-07-22</x:v>
      </x:c>
    </x:row>
    <x:row r="18" ht="31.5" customHeight="1">
      <x:c r="A18" s="14" t="str">
        <x:v>EU-EC-SWD-2025-560</x:v>
      </x:c>
      <x:c r="B18" s="14" t="str">
        <x:v>European Commission</x:v>
      </x:c>
      <x:c r="C18" s="14" t="str">
        <x:v>official_secondary</x:v>
      </x:c>
      <x:c r="D18" s="14" t="str">
        <x:v>https://eur-lex.europa.eu/legal-content/EN/TXT/?uri=SWD%3A2025%3A0560%3AFIN</x:v>
      </x:c>
      <x:c r="E18" s="14" t="str">
        <x:v>2026-07-24</x:v>
      </x:c>
    </x:row>
    <x:row r="19" ht="31.5" customHeight="1">
      <x:c r="A19" s="14" t="str">
        <x:v>EU-EC-SWD-2026-111</x:v>
      </x:c>
      <x:c r="B19" s="14" t="str">
        <x:v>European Commission</x:v>
      </x:c>
      <x:c r="C19" s="14" t="str">
        <x:v>official_secondary</x:v>
      </x:c>
      <x:c r="D19" s="14" t="str">
        <x:v>https://eur-lex.europa.eu/legal-content/EN/TXT/?uri=SWD%3A2026%3A111%3AFIN</x:v>
      </x:c>
      <x:c r="E19" s="14" t="str">
        <x:v>2026-07-24</x:v>
      </x:c>
    </x:row>
    <x:row r="20" ht="31.5" customHeight="1">
      <x:c r="A20" s="14" t="str">
        <x:v>EU-TPLF-MAPPING</x:v>
      </x:c>
      <x:c r="B20" s="14" t="str">
        <x:v>European Commission</x:v>
      </x:c>
      <x:c r="C20" s="14" t="str">
        <x:v>official_policy_study</x:v>
      </x:c>
      <x:c r="D20" s="14" t="str">
        <x:v>https://commission.europa.eu/strategy-and-policy/policies/justice-and-fundamental-rights/civil-justice/civil-and-commercial-law/third-party-litigation-funding-tplf_en</x:v>
      </x:c>
      <x:c r="E20" s="14" t="str">
        <x:v>2026-07-22</x:v>
      </x:c>
    </x:row>
    <x:row r="21" ht="31.5" customHeight="1">
      <x:c r="A21" s="14" t="str">
        <x:v>FI-TAX-EXCISE-VVT-010-2025</x:v>
      </x:c>
      <x:c r="B21" s="14" t="str">
        <x:v>Finnish Tax Administration</x:v>
      </x:c>
      <x:c r="C21" s="14" t="str">
        <x:v>official</x:v>
      </x:c>
      <x:c r="D21" s="14" t="str">
        <x:v>https://vero2.stat.fi/PXWeb/api/v1/en/Vero/Valmistevero/vvt_010.px</x:v>
      </x:c>
      <x:c r="E21" s="14" t="str">
        <x:v>2026-07-22</x:v>
      </x:c>
    </x:row>
    <x:row r="22" ht="31.5" customHeight="1">
      <x:c r="A22" s="14" t="str">
        <x:v>FORTUNE-GLOBAL-2025</x:v>
      </x:c>
      <x:c r="B22" s="14" t="str">
        <x:v>Fortune Business Insights</x:v>
      </x:c>
      <x:c r="C22" s="14" t="str">
        <x:v>commercial_estimate</x:v>
      </x:c>
      <x:c r="D22" s="14" t="str">
        <x:v>https://www.fortunebusinessinsights.com/e-cigarette-and-vaping-market-114882</x:v>
      </x:c>
      <x:c r="E22" s="14" t="str">
        <x:v>2026-07-22</x:v>
      </x:c>
    </x:row>
    <x:row r="23" ht="31.5" customHeight="1">
      <x:c r="A23" s="14" t="str">
        <x:v>GVR-GLOBAL-2025</x:v>
      </x:c>
      <x:c r="B23" s="14" t="str">
        <x:v>Grand View Research</x:v>
      </x:c>
      <x:c r="C23" s="14" t="str">
        <x:v>commercial_estimate</x:v>
      </x:c>
      <x:c r="D23" s="14" t="str">
        <x:v>https://www.grandviewresearch.com/industry-analysis/e-cigarette-vaping-market</x:v>
      </x:c>
      <x:c r="E23" s="14" t="str">
        <x:v>2026-07-22</x:v>
      </x:c>
    </x:row>
    <x:row r="24" ht="31.5" customHeight="1">
      <x:c r="A24" s="14" t="str">
        <x:v>IMARC-GLOBAL-2025</x:v>
      </x:c>
      <x:c r="B24" s="14" t="str">
        <x:v>IMARC Group</x:v>
      </x:c>
      <x:c r="C24" s="14" t="str">
        <x:v>commercial_estimate</x:v>
      </x:c>
      <x:c r="D24" s="14" t="str">
        <x:v>https://www.imarcgroup.com/e-cigarette-market</x:v>
      </x:c>
      <x:c r="E24" s="14" t="str">
        <x:v>2026-07-22</x:v>
      </x:c>
    </x:row>
    <x:row r="25" ht="31.5" customHeight="1">
      <x:c r="A25" s="14" t="str">
        <x:v>INTASTE-GERMANFLAVOURS-2026</x:v>
      </x:c>
      <x:c r="B25" s="14" t="str">
        <x:v>inTaste.de</x:v>
      </x:c>
      <x:c r="C25" s="14" t="str">
        <x:v>retail_listing</x:v>
      </x:c>
      <x:c r="D25" s="14" t="str">
        <x:v>https://www.intaste.de/pfefferminz-liquid-germanflavours-liquid</x:v>
      </x:c>
      <x:c r="E25" s="14" t="str">
        <x:v>2026-07-22</x:v>
      </x:c>
    </x:row>
    <x:row r="26" ht="31.5" customHeight="1">
      <x:c r="A26" s="14" t="str">
        <x:v>INTASTE-REVOLTAGE-2026</x:v>
      </x:c>
      <x:c r="B26" s="14" t="str">
        <x:v>inTaste.de</x:v>
      </x:c>
      <x:c r="C26" s="14" t="str">
        <x:v>retail_listing</x:v>
      </x:c>
      <x:c r="D26" s="14" t="str">
        <x:v>https://www.intaste.de/tobacco-vanilla-nikotinsalz-revoltage-liquid</x:v>
      </x:c>
      <x:c r="E26" s="14" t="str">
        <x:v>2026-07-22</x:v>
      </x:c>
    </x:row>
    <x:row r="27" ht="31.5" customHeight="1">
      <x:c r="A27" s="14" t="str">
        <x:v>INTASTE-SAMURAI-2026</x:v>
      </x:c>
      <x:c r="B27" s="14" t="str">
        <x:v>inTaste.de</x:v>
      </x:c>
      <x:c r="C27" s="14" t="str">
        <x:v>retail_listing</x:v>
      </x:c>
      <x:c r="D27" s="14" t="str">
        <x:v>https://www.intaste.de/anstand-liquid-samurai-liquid</x:v>
      </x:c>
      <x:c r="E27" s="14" t="str">
        <x:v>2026-07-22</x:v>
      </x:c>
    </x:row>
    <x:row r="28" ht="31.5" customHeight="1">
      <x:c r="A28" s="14" t="str">
        <x:v>IPAU-PATENT-API</x:v>
      </x:c>
      <x:c r="B28" s="14" t="str">
        <x:v>IP Australia</x:v>
      </x:c>
      <x:c r="C28" s="14" t="str">
        <x:v>official_national_api</x:v>
      </x:c>
      <x:c r="D28" s="14" t="str">
        <x:v>https://production.api.ipaustralia.gov.au/public/ipright-search-api/v1/patents/2014307829</x:v>
      </x:c>
      <x:c r="E28" s="14" t="str">
        <x:v>2026-07-22</x:v>
      </x:c>
    </x:row>
    <x:row r="29" ht="31.5" customHeight="1">
      <x:c r="A29" s="14" t="str">
        <x:v>KIPRIS-REGISTER</x:v>
      </x:c>
      <x:c r="B29" s="14" t="str">
        <x:v>Korean Intellectual Property Office / KIPRIS</x:v>
      </x:c>
      <x:c r="C29" s="14" t="str">
        <x:v>official_national_register</x:v>
      </x:c>
      <x:c r="D29" s="14" t="str">
        <x:v>https://www.kipris.or.kr/khome/search/searchResult.do</x:v>
      </x:c>
      <x:c r="E29" s="14" t="str">
        <x:v>2026-07-22</x:v>
      </x:c>
    </x:row>
    <x:row r="30" ht="31.5" customHeight="1">
      <x:c r="A30" s="14" t="str">
        <x:v>NZ-MOH-ANNUAL-RETURNS-2022</x:v>
      </x:c>
      <x:c r="B30" s="14" t="str">
        <x:v>New Zealand Ministry of Health</x:v>
      </x:c>
      <x:c r="C30" s="14" t="str">
        <x:v>official</x:v>
      </x:c>
      <x:c r="D30" s="14" t="str">
        <x:v>https://www.health.govt.nz/regulation-legislation/vaping-herbal-smoking-and-smokeless-tobacco/requirements/complete-a-notifiable-product-annual-return/annual-returns-2022</x:v>
      </x:c>
      <x:c r="E30" s="14" t="str">
        <x:v>2026-07-24</x:v>
      </x:c>
    </x:row>
    <x:row r="31" ht="31.5" customHeight="1">
      <x:c r="A31" s="14" t="str">
        <x:v>NZ-MOH-ANNUAL-RETURNS-2023</x:v>
      </x:c>
      <x:c r="B31" s="14" t="str">
        <x:v>New Zealand Ministry of Health</x:v>
      </x:c>
      <x:c r="C31" s="14" t="str">
        <x:v>official</x:v>
      </x:c>
      <x:c r="D31" s="14" t="str">
        <x:v>https://www.health.govt.nz/regulation-legislation/vaping-herbal-smoking-and-smokeless-tobacco/requirements/complete-a-notifiable-product-annual-return/annual-returns-2023</x:v>
      </x:c>
      <x:c r="E31" s="14" t="str">
        <x:v>2026-07-24</x:v>
      </x:c>
    </x:row>
    <x:row r="32" ht="31.5" customHeight="1">
      <x:c r="A32" s="14" t="str">
        <x:v>NZ-MOH-ANNUAL-RETURNS-2024</x:v>
      </x:c>
      <x:c r="B32" s="14" t="str">
        <x:v>New Zealand Ministry of Health</x:v>
      </x:c>
      <x:c r="C32" s="14" t="str">
        <x:v>official</x:v>
      </x:c>
      <x:c r="D32" s="14" t="str">
        <x:v>https://www.health.govt.nz/regulation-legislation/vaping-herbal-smoking-and-smokeless-tobacco/requirements/complete-a-notifiable-product-annual-return/annual-returns-2024</x:v>
      </x:c>
      <x:c r="E32" s="14" t="str">
        <x:v>2026-07-24</x:v>
      </x:c>
    </x:row>
    <x:row r="33" ht="31.5" customHeight="1">
      <x:c r="A33" s="14" t="str">
        <x:v>PL-SEJM-I07255-O1</x:v>
      </x:c>
      <x:c r="B33" s="14" t="str">
        <x:v>Sejm of the Republic of Poland</x:v>
      </x:c>
      <x:c r="C33" s="14" t="str">
        <x:v>official</x:v>
      </x:c>
      <x:c r="D33" s="14" t="str">
        <x:v>https://api.sejm.gov.pl/sejm/term10/interpellations/attachment/ATTDDEJZ5/i07255-o1.pdf</x:v>
      </x:c>
      <x:c r="E33" s="14" t="str">
        <x:v>2026-07-22</x:v>
      </x:c>
    </x:row>
    <x:row r="34" ht="31.5" customHeight="1">
      <x:c r="A34" s="14" t="str">
        <x:v>PL-SEJM-I17526-O1</x:v>
      </x:c>
      <x:c r="B34" s="14" t="str">
        <x:v>Sejm of the Republic of Poland</x:v>
      </x:c>
      <x:c r="C34" s="14" t="str">
        <x:v>official</x:v>
      </x:c>
      <x:c r="D34" s="14" t="str">
        <x:v>https://api.sejm.gov.pl/sejm/term10/interpellations/attachment/ATTDVKHSJ/i17526-o1.pdf</x:v>
      </x:c>
      <x:c r="E34" s="14" t="str">
        <x:v>2026-07-22</x:v>
      </x:c>
    </x:row>
    <x:row r="35" ht="31.5" customHeight="1">
      <x:c r="A35" s="14" t="str">
        <x:v>PRH-FI-REGISTER</x:v>
      </x:c>
      <x:c r="B35" s="14" t="str">
        <x:v>Finnish Patent and Registration Office</x:v>
      </x:c>
      <x:c r="C35" s="14" t="str">
        <x:v>official_national_register</x:v>
      </x:c>
      <x:c r="D35" s="14" t="str">
        <x:v>https://patenttitietopalvelu.prh.fi/en/patent/20135829</x:v>
      </x:c>
      <x:c r="E35" s="14" t="str">
        <x:v>2026-07-22</x:v>
      </x:c>
    </x:row>
    <x:row r="36" ht="31.5" customHeight="1">
      <x:c r="A36" s="14" t="str">
        <x:v>ROSPATENT-REGISTER</x:v>
      </x:c>
      <x:c r="B36" s="14" t="str">
        <x:v>Federal Service for Intellectual Property (Rospatent)</x:v>
      </x:c>
      <x:c r="C36" s="14" t="str">
        <x:v>official_national_register</x:v>
      </x:c>
      <x:c r="D36" s="14" t="str">
        <x:v>https://new.fips.ru/registers-doc-view/fips_servlet?DB=RUPAT&amp;DocNumber=2600093&amp;TypeFile=html</x:v>
      </x:c>
      <x:c r="E36" s="14" t="str">
        <x:v>2026-07-22</x:v>
      </x:c>
    </x:row>
    <x:row r="37" ht="31.5" customHeight="1">
      <x:c r="A37" s="14" t="str">
        <x:v>RPAD-KANANEN-2013</x:v>
      </x:c>
      <x:c r="B37" s="14" t="str">
        <x:v>RPad.tv</x:v>
      </x:c>
      <x:c r="C37" s="14" t="str">
        <x:v>secondary_interview</x:v>
      </x:c>
      <x:c r="D37" s="14" t="str">
        <x:v>https://rpad.tv/2013/09/23/vaping-diaries-108-electric-angel-owner-mika-kananen-interview/</x:v>
      </x:c>
      <x:c r="E37" s="14" t="str">
        <x:v>2026-07-22</x:v>
      </x:c>
    </x:row>
    <x:row r="38" ht="31.5" customHeight="1">
      <x:c r="A38" s="14" t="str">
        <x:v>RPX-CN-225669</x:v>
      </x:c>
      <x:c r="B38" s="14" t="str">
        <x:v>RPX Insight</x:v>
      </x:c>
      <x:c r="C38" s="14" t="str">
        <x:v>secondary_litigation_database</x:v>
      </x:c>
      <x:c r="D38" s="14" t="str">
        <x:v>https://litigation.rpxcorp.com/china/prb/5153434-picsen-company-v-pixan-oy-of-365</x:v>
      </x:c>
      <x:c r="E38" s="14" t="str">
        <x:v>2026-07-22</x:v>
      </x:c>
    </x:row>
    <x:row r="39" ht="31.5" customHeight="1">
      <x:c r="A39" s="14" t="str">
        <x:v>SE-GOV-BERAKNINGSKONVENTIONER-2026</x:v>
      </x:c>
      <x:c r="B39" s="14" t="str">
        <x:v>Government Offices of Sweden</x:v>
      </x:c>
      <x:c r="C39" s="14" t="str">
        <x:v>official</x:v>
      </x:c>
      <x:c r="D39" s="14" t="str">
        <x:v>https://www.regeringen.se/contentassets/1ed01e00001b42e5ad8d47433db63ece/berakningskonventioner_2026.pdf</x:v>
      </x:c>
      <x:c r="E39" s="14" t="str">
        <x:v>2026-07-22</x:v>
      </x:c>
    </x:row>
    <x:row r="40" ht="31.5" customHeight="1">
      <x:c r="A40" s="14" t="str">
        <x:v>UPCA-ARTICLE-83</x:v>
      </x:c>
      <x:c r="B40" s="14" t="str">
        <x:v>European Patent Office / Agreement on a Unified Patent Court</x:v>
      </x:c>
      <x:c r="C40" s="14" t="str">
        <x:v>official_treaty_text</x:v>
      </x:c>
      <x:c r="D40" s="14" t="str">
        <x:v>https://www.epo.org/en/legal/up-upc/2022/upca_83.html</x:v>
      </x:c>
      <x:c r="E40" s="14" t="str">
        <x:v>2026-07-22</x:v>
      </x:c>
    </x:row>
    <x:row r="41" ht="31.5" customHeight="1">
      <x:c r="A41" s="14" t="str">
        <x:v>USPTO-ASSIGNMENT</x:v>
      </x:c>
      <x:c r="B41" s="14" t="str">
        <x:v>United States Patent and Trademark Office</x:v>
      </x:c>
      <x:c r="C41" s="14" t="str">
        <x:v>official_national_assignment_route</x:v>
      </x:c>
      <x:c r="D41" s="14" t="str">
        <x:v>https://assignment.uspto.gov/patent/index.html#/patent/search/resultFilter?searchInput=10306923</x:v>
      </x:c>
      <x:c r="E41" s="14" t="str">
        <x:v>2026-07-22</x:v>
      </x:c>
    </x:row>
    <x:row r="42" ht="31.5" customHeight="1">
      <x:c r="A42" s="14" t="str">
        <x:v>USPTO-MAINTENANCE</x:v>
      </x:c>
      <x:c r="B42" s="14" t="str">
        <x:v>United States Patent and Trademark Office</x:v>
      </x:c>
      <x:c r="C42" s="14" t="str">
        <x:v>official_national_fee_route</x:v>
      </x:c>
      <x:c r="D42" s="14" t="str">
        <x:v>https://fees.uspto.gov/MaintenanceFees/fees/details?patentNumber=10306923</x:v>
      </x:c>
      <x:c r="E42" s="14" t="str">
        <x:v>2026-07-22</x:v>
      </x:c>
    </x:row>
    <x:row r="43" ht="31.5" customHeight="1">
      <x:c r="A43" s="14" t="str">
        <x:v>USPTO-PATENT-CENTER</x:v>
      </x:c>
      <x:c r="B43" s="14" t="str">
        <x:v>United States Patent and Trademark Office</x:v>
      </x:c>
      <x:c r="C43" s="14" t="str">
        <x:v>official_national_register_route</x:v>
      </x:c>
      <x:c r="D43" s="14" t="str">
        <x:v>https://patentcenter.uspto.gov/applications/14911851</x:v>
      </x:c>
      <x:c r="E43" s="14" t="str">
        <x:v>2026-07-22</x:v>
      </x:c>
    </x:row>
    <x:row r="44" ht="31.5" customHeight="1">
      <x:c r="A44" s="14" t="str">
        <x:v>WAYBACK-EA-ABOUT-2012</x:v>
      </x:c>
      <x:c r="B44" s="14" t="str">
        <x:v>Electric Angel Oy webpage archived by Internet Archive</x:v>
      </x:c>
      <x:c r="C44" s="14" t="str">
        <x:v>archived_company_statement</x:v>
      </x:c>
      <x:c r="D44" s="14" t="str">
        <x:v>https://web.archive.org/web/20121206055248/http://www.electricangel.fi:80/page/4/about-us</x:v>
      </x:c>
      <x:c r="E44" s="14" t="str">
        <x:v>2026-07-22</x:v>
      </x:c>
    </x:row>
    <x:row r="45" ht="31.5" customHeight="1">
      <x:c r="A45" s="14" t="str">
        <x:v>WAYBACK-EA-INVICTUS-2013</x:v>
      </x:c>
      <x:c r="B45" s="14" t="str">
        <x:v>Electric Angel Oy webpage archived by Internet Archive</x:v>
      </x:c>
      <x:c r="C45" s="14" t="str">
        <x:v>archived_company_statement</x:v>
      </x:c>
      <x:c r="D45" s="14" t="str">
        <x:v>https://web.archive.org/web/20131216064916/http://www.electricangel.fi:80/news/3/ea-invictus</x:v>
      </x:c>
      <x:c r="E45" s="14" t="str">
        <x:v>2026-07-22</x:v>
      </x:c>
    </x:row>
    <x:row r="46" ht="31.5" customHeight="1">
      <x:c r="A46" s="14" t="str">
        <x:v>WIPO-ASSIGNMENT-LICENSING</x:v>
      </x:c>
      <x:c r="B46" s="14" t="str">
        <x:v>World Intellectual Property Organization</x:v>
      </x:c>
      <x:c r="C46" s="14" t="str">
        <x:v>official_guidance</x:v>
      </x:c>
      <x:c r="D46" s="14" t="str">
        <x:v>https://www.wipo.int/ja/web/business/assignment-licensing</x:v>
      </x:c>
      <x:c r="E46" s="14" t="str">
        <x:v>2026-07-22</x:v>
      </x:c>
    </x:row>
    <x:row r="47" ht="31.5" customHeight="1">
      <x:c r="A47" s="14" t="str">
        <x:v>WIPO-DISPUTE-RESOLUTION</x:v>
      </x:c>
      <x:c r="B47" s="14" t="str">
        <x:v>World Intellectual Property Organization</x:v>
      </x:c>
      <x:c r="C47" s="14" t="str">
        <x:v>official_guidance</x:v>
      </x:c>
      <x:c r="D47" s="14" t="str">
        <x:v>https://www.wipo.int/en/web/business/settle-ip-disputes</x:v>
      </x:c>
      <x:c r="E47" s="14" t="str">
        <x:v>2026-07-22</x:v>
      </x:c>
    </x:row>
    <x:row r="48" ht="31.5" customHeight="1">
      <x:c r="A48" s="14" t="str">
        <x:v>WIPO-IP-FINANCE</x:v>
      </x:c>
      <x:c r="B48" s="14" t="str">
        <x:v>World Intellectual Property Organization</x:v>
      </x:c>
      <x:c r="C48" s="14" t="str">
        <x:v>official_guidance</x:v>
      </x:c>
      <x:c r="D48" s="14" t="str">
        <x:v>https://www.wipo.int/en/web/ip-financing</x:v>
      </x:c>
      <x:c r="E48" s="14" t="str">
        <x:v>2026-07-22</x:v>
      </x:c>
    </x:row>
    <x:row r="49" ht="31.5" customHeight="1">
      <x:c r="A49" s="14" t="str">
        <x:v>WIPO-IP-VALUATION</x:v>
      </x:c>
      <x:c r="B49" s="14" t="str">
        <x:v>World Intellectual Property Organization</x:v>
      </x:c>
      <x:c r="C49" s="14" t="str">
        <x:v>official_guidance</x:v>
      </x:c>
      <x:c r="D49" s="14" t="str">
        <x:v>https://www.wipo.int/en/web/business/ip-valuation</x:v>
      </x:c>
      <x:c r="E49" s="14" t="str">
        <x:v>2026-07-22</x:v>
      </x:c>
    </x:row>
    <x:row r="50" ht="31.5" customHeight="1">
      <x:c r="A50" s="14" t="str">
        <x:v>WIPO-PCT-NATIONAL-PHASE</x:v>
      </x:c>
      <x:c r="B50" s="14" t="str">
        <x:v>World Intellectual Property Organization</x:v>
      </x:c>
      <x:c r="C50" s="14" t="str">
        <x:v>official_guidance</x:v>
      </x:c>
      <x:c r="D50" s="14" t="str">
        <x:v>https://www.wipo.int/en/web/pct-system/national-phase</x:v>
      </x:c>
      <x:c r="E50" s="14" t="str">
        <x:v>2026-07-22</x:v>
      </x:c>
    </x:row>
    <x:row r="51" ht="31.5" customHeight="1">
      <x:c r="A51" s="14" t="str">
        <x:v>YTJ-ELECTRIC-ANGEL</x:v>
      </x:c>
      <x:c r="B51" s="14" t="str">
        <x:v>Finnish Patent and Registration Office / Finnish Tax Administration</x:v>
      </x:c>
      <x:c r="C51" s="14" t="str">
        <x:v>official_company_register</x:v>
      </x:c>
      <x:c r="D51" s="14" t="str">
        <x:v>https://avoindata.prh.fi/opendata-ytj-api/v3/companies?businessId=2498114-9</x:v>
      </x:c>
      <x:c r="E51" s="14" t="str">
        <x:v>2026-07-22</x:v>
      </x:c>
    </x:row>
    <x:row r="52" ht="31.5" customHeight="1">
      <x:c r="A52" s="14" t="str">
        <x:v>YTJ-PIXAN</x:v>
      </x:c>
      <x:c r="B52" s="14" t="str">
        <x:v>Finnish Patent and Registration Office / Finnish Tax Administration</x:v>
      </x:c>
      <x:c r="C52" s="14" t="str">
        <x:v>official_company_register</x:v>
      </x:c>
      <x:c r="D52" s="14" t="str">
        <x:v>https://avoindata.prh.fi/opendata-ytj-api/v3/companies?businessId=2632380-1</x:v>
      </x:c>
      <x:c r="E52" s="14" t="str">
        <x:v>2026-07-22</x:v>
      </x:c>
    </x:row>
    <x:row r="53" ht="31.5" customHeight="1">
      <x:c r="A53" s="14" t="str">
        <x:v>REGISTER-REFERENCE-067A847A44A9</x:v>
      </x:c>
      <x:c r="B53" s="14" t="str">
        <x:v>api.sejm.gov.pl</x:v>
      </x:c>
      <x:c r="C53" s="14" t="str">
        <x:v>register_reference</x:v>
      </x:c>
      <x:c r="D53" s="14" t="str">
        <x:v>https://api.sejm.gov.pl/eli/acts/DU/2025/698/text.pdf</x:v>
      </x:c>
      <x:c r="E53" s="14" t="str">
        <x:v>2026-08-02</x:v>
      </x:c>
    </x:row>
    <x:row r="54" ht="31.5" customHeight="1">
      <x:c r="A54" s="14" t="str">
        <x:v>REGISTER-REFERENCE-BC2CDD0708D5</x:v>
      </x:c>
      <x:c r="B54" s="14" t="str">
        <x:v>data-api.ecb.europa.eu</x:v>
      </x:c>
      <x:c r="C54" s="14" t="str">
        <x:v>register_reference</x:v>
      </x:c>
      <x:c r="D54" s="14" t="str">
        <x:v>https://data-api.ecb.europa.eu/service/data/EXR/A.CAD.EUR.SP00.A?startPeriod=2019&amp;endPeriod=2019&amp;format=csvdata</x:v>
      </x:c>
      <x:c r="E54" s="14" t="str">
        <x:v>2026-08-02</x:v>
      </x:c>
    </x:row>
    <x:row r="55" ht="31.5" customHeight="1">
      <x:c r="A55" s="14" t="str">
        <x:v>REGISTER-REFERENCE-7264539499F0</x:v>
      </x:c>
      <x:c r="B55" s="14" t="str">
        <x:v>data-api.ecb.europa.eu</x:v>
      </x:c>
      <x:c r="C55" s="14" t="str">
        <x:v>register_reference</x:v>
      </x:c>
      <x:c r="D55" s="14" t="str">
        <x:v>https://data-api.ecb.europa.eu/service/data/EXR/A.CAD.EUR.SP00.A?startPeriod=2020&amp;endPeriod=2020&amp;format=csvdata</x:v>
      </x:c>
      <x:c r="E55" s="14" t="str">
        <x:v>2026-08-02</x:v>
      </x:c>
    </x:row>
    <x:row r="56" ht="31.5" customHeight="1">
      <x:c r="A56" s="14" t="str">
        <x:v>REGISTER-REFERENCE-2580DD0733C9</x:v>
      </x:c>
      <x:c r="B56" s="14" t="str">
        <x:v>data-api.ecb.europa.eu</x:v>
      </x:c>
      <x:c r="C56" s="14" t="str">
        <x:v>register_reference</x:v>
      </x:c>
      <x:c r="D56" s="14" t="str">
        <x:v>https://data-api.ecb.europa.eu/service/data/EXR/A.CAD.EUR.SP00.A?startPeriod=2021&amp;endPeriod=2021&amp;format=csvdata</x:v>
      </x:c>
      <x:c r="E56" s="14" t="str">
        <x:v>2026-08-02</x:v>
      </x:c>
    </x:row>
    <x:row r="57" ht="31.5" customHeight="1">
      <x:c r="A57" s="14" t="str">
        <x:v>REGISTER-REFERENCE-38DD93023815</x:v>
      </x:c>
      <x:c r="B57" s="14" t="str">
        <x:v>data-api.ecb.europa.eu</x:v>
      </x:c>
      <x:c r="C57" s="14" t="str">
        <x:v>register_reference</x:v>
      </x:c>
      <x:c r="D57" s="14" t="str">
        <x:v>https://data-api.ecb.europa.eu/service/data/EXR/A.CAD.EUR.SP00.A?startPeriod=2022&amp;endPeriod=2022&amp;format=csvdata</x:v>
      </x:c>
      <x:c r="E57" s="14" t="str">
        <x:v>2026-08-02</x:v>
      </x:c>
    </x:row>
    <x:row r="58" ht="31.5" customHeight="1">
      <x:c r="A58" s="14" t="str">
        <x:v>REGISTER-REFERENCE-72D82058EA8A</x:v>
      </x:c>
      <x:c r="B58" s="14" t="str">
        <x:v>data-api.ecb.europa.eu</x:v>
      </x:c>
      <x:c r="C58" s="14" t="str">
        <x:v>register_reference</x:v>
      </x:c>
      <x:c r="D58" s="14" t="str">
        <x:v>https://data-api.ecb.europa.eu/service/data/EXR/A.CAD.EUR.SP00.A?startPeriod=2023&amp;endPeriod=2023&amp;format=csvdata</x:v>
      </x:c>
      <x:c r="E58" s="14" t="str">
        <x:v>2026-08-02</x:v>
      </x:c>
    </x:row>
    <x:row r="59" ht="31.5" customHeight="1">
      <x:c r="A59" s="14" t="str">
        <x:v>REGISTER-REFERENCE-E8408060156E</x:v>
      </x:c>
      <x:c r="B59" s="14" t="str">
        <x:v>data-api.ecb.europa.eu</x:v>
      </x:c>
      <x:c r="C59" s="14" t="str">
        <x:v>register_reference</x:v>
      </x:c>
      <x:c r="D59" s="14" t="str">
        <x:v>https://data-api.ecb.europa.eu/service/data/EXR/A.CAD.EUR.SP00.A?startPeriod=2024&amp;endPeriod=2024&amp;format=csvdata</x:v>
      </x:c>
      <x:c r="E59" s="14" t="str">
        <x:v>2026-08-02</x:v>
      </x:c>
    </x:row>
    <x:row r="60" ht="31.5" customHeight="1">
      <x:c r="A60" s="14" t="str">
        <x:v>REGISTER-REFERENCE-ACB549D404B8</x:v>
      </x:c>
      <x:c r="B60" s="14" t="str">
        <x:v>data-api.ecb.europa.eu</x:v>
      </x:c>
      <x:c r="C60" s="14" t="str">
        <x:v>register_reference</x:v>
      </x:c>
      <x:c r="D60" s="14" t="str">
        <x:v>https://data-api.ecb.europa.eu/service/data/EXR/A.CAD.EUR.SP00.A?startPeriod=2025&amp;endPeriod=2025&amp;format=csvdata</x:v>
      </x:c>
      <x:c r="E60" s="14" t="str">
        <x:v>2026-08-02</x:v>
      </x:c>
    </x:row>
    <x:row r="61" ht="31.5" customHeight="1">
      <x:c r="A61" s="14" t="str">
        <x:v>REGISTER-REFERENCE-2FB6E2117AD7</x:v>
      </x:c>
      <x:c r="B61" s="14" t="str">
        <x:v>data-api.ecb.europa.eu</x:v>
      </x:c>
      <x:c r="C61" s="14" t="str">
        <x:v>register_reference</x:v>
      </x:c>
      <x:c r="D61" s="14" t="str">
        <x:v>https://data-api.ecb.europa.eu/service/data/EXR/A.NZD.EUR.SP00.A?startPeriod=2022&amp;endPeriod=2022&amp;format=csvdata</x:v>
      </x:c>
      <x:c r="E61" s="14" t="str">
        <x:v>2026-08-02</x:v>
      </x:c>
    </x:row>
    <x:row r="62" ht="31.5" customHeight="1">
      <x:c r="A62" s="14" t="str">
        <x:v>REGISTER-REFERENCE-8FEBAD85B03E</x:v>
      </x:c>
      <x:c r="B62" s="14" t="str">
        <x:v>data-api.ecb.europa.eu</x:v>
      </x:c>
      <x:c r="C62" s="14" t="str">
        <x:v>register_reference</x:v>
      </x:c>
      <x:c r="D62" s="14" t="str">
        <x:v>https://data-api.ecb.europa.eu/service/data/EXR/A.NZD.EUR.SP00.A?startPeriod=2023&amp;endPeriod=2023&amp;format=csvdata</x:v>
      </x:c>
      <x:c r="E62" s="14" t="str">
        <x:v>2026-08-02</x:v>
      </x:c>
    </x:row>
    <x:row r="63" ht="31.5" customHeight="1">
      <x:c r="A63" s="14" t="str">
        <x:v>REGISTER-REFERENCE-37CBB91A050A</x:v>
      </x:c>
      <x:c r="B63" s="14" t="str">
        <x:v>data-api.ecb.europa.eu</x:v>
      </x:c>
      <x:c r="C63" s="14" t="str">
        <x:v>register_reference</x:v>
      </x:c>
      <x:c r="D63" s="14" t="str">
        <x:v>https://data-api.ecb.europa.eu/service/data/EXR/A.NZD.EUR.SP00.A?startPeriod=2024&amp;endPeriod=2024&amp;format=csvdata</x:v>
      </x:c>
      <x:c r="E63" s="14" t="str">
        <x:v>2026-08-02</x:v>
      </x:c>
    </x:row>
    <x:row r="64" ht="31.5" customHeight="1">
      <x:c r="A64" s="14" t="str">
        <x:v>REGISTER-REFERENCE-BCE59F2D3F9D</x:v>
      </x:c>
      <x:c r="B64" s="14" t="str">
        <x:v>data-api.ecb.europa.eu</x:v>
      </x:c>
      <x:c r="C64" s="14" t="str">
        <x:v>register_reference</x:v>
      </x:c>
      <x:c r="D64" s="14" t="str">
        <x:v>https://data-api.ecb.europa.eu/service/data/EXR/A.PLN.EUR.SP00.A?startPeriod=2015&amp;endPeriod=2015&amp;format=csvdata</x:v>
      </x:c>
      <x:c r="E64" s="14" t="str">
        <x:v>2026-08-02</x:v>
      </x:c>
    </x:row>
    <x:row r="65" ht="31.5" customHeight="1">
      <x:c r="A65" s="14" t="str">
        <x:v>REGISTER-REFERENCE-2267B190A073</x:v>
      </x:c>
      <x:c r="B65" s="14" t="str">
        <x:v>data-api.ecb.europa.eu</x:v>
      </x:c>
      <x:c r="C65" s="14" t="str">
        <x:v>register_reference</x:v>
      </x:c>
      <x:c r="D65" s="14" t="str">
        <x:v>https://data-api.ecb.europa.eu/service/data/EXR/A.PLN.EUR.SP00.A?startPeriod=2021&amp;endPeriod=2021&amp;format=csvdata</x:v>
      </x:c>
      <x:c r="E65" s="14" t="str">
        <x:v>2026-08-02</x:v>
      </x:c>
    </x:row>
    <x:row r="66" ht="31.5" customHeight="1">
      <x:c r="A66" s="14" t="str">
        <x:v>REGISTER-REFERENCE-957871D9CB33</x:v>
      </x:c>
      <x:c r="B66" s="14" t="str">
        <x:v>data-api.ecb.europa.eu</x:v>
      </x:c>
      <x:c r="C66" s="14" t="str">
        <x:v>register_reference</x:v>
      </x:c>
      <x:c r="D66" s="14" t="str">
        <x:v>https://data-api.ecb.europa.eu/service/data/EXR/A.PLN.EUR.SP00.A?startPeriod=2022&amp;endPeriod=2022&amp;format=csvdata</x:v>
      </x:c>
      <x:c r="E66" s="14" t="str">
        <x:v>2026-08-02</x:v>
      </x:c>
    </x:row>
    <x:row r="67" ht="31.5" customHeight="1">
      <x:c r="A67" s="14" t="str">
        <x:v>REGISTER-REFERENCE-5C7194247112</x:v>
      </x:c>
      <x:c r="B67" s="14" t="str">
        <x:v>data-api.ecb.europa.eu</x:v>
      </x:c>
      <x:c r="C67" s="14" t="str">
        <x:v>register_reference</x:v>
      </x:c>
      <x:c r="D67" s="14" t="str">
        <x:v>https://data-api.ecb.europa.eu/service/data/EXR/A.PLN.EUR.SP00.A?startPeriod=2023&amp;endPeriod=2023&amp;format=csvdata</x:v>
      </x:c>
      <x:c r="E67" s="14" t="str">
        <x:v>2026-08-02</x:v>
      </x:c>
    </x:row>
    <x:row r="68" ht="31.5" customHeight="1">
      <x:c r="A68" s="14" t="str">
        <x:v>REGISTER-REFERENCE-75BF634166B2</x:v>
      </x:c>
      <x:c r="B68" s="14" t="str">
        <x:v>data-api.ecb.europa.eu</x:v>
      </x:c>
      <x:c r="C68" s="14" t="str">
        <x:v>register_reference</x:v>
      </x:c>
      <x:c r="D68" s="14" t="str">
        <x:v>https://data-api.ecb.europa.eu/service/data/EXR/A.PLN.EUR.SP00.A?startPeriod=2024&amp;endPeriod=2024&amp;format=csvdata</x:v>
      </x:c>
      <x:c r="E68" s="14" t="str">
        <x:v>2026-08-02</x:v>
      </x:c>
    </x:row>
    <x:row r="69" ht="31.5" customHeight="1">
      <x:c r="A69" s="14" t="str">
        <x:v>REGISTER-REFERENCE-54AB30A87D3D</x:v>
      </x:c>
      <x:c r="B69" s="14" t="str">
        <x:v>data-api.ecb.europa.eu</x:v>
      </x:c>
      <x:c r="C69" s="14" t="str">
        <x:v>register_reference</x:v>
      </x:c>
      <x:c r="D69" s="14" t="str">
        <x:v>https://data-api.ecb.europa.eu/service/data/EXR/A.PLN.EUR.SP00.A?startPeriod=2025&amp;endPeriod=2025&amp;format=csvdata</x:v>
      </x:c>
      <x:c r="E69" s="14" t="str">
        <x:v>2026-08-02</x:v>
      </x:c>
    </x:row>
    <x:row r="70" ht="31.5" customHeight="1">
      <x:c r="A70" s="14" t="str">
        <x:v>REGISTER-REFERENCE-4B9D48C385C9</x:v>
      </x:c>
      <x:c r="B70" s="14" t="str">
        <x:v>data-api.ecb.europa.eu</x:v>
      </x:c>
      <x:c r="C70" s="14" t="str">
        <x:v>register_reference</x:v>
      </x:c>
      <x:c r="D70" s="14" t="str">
        <x:v>https://data-api.ecb.europa.eu/service/data/EXR/A.SEK.EUR.SP00.A?startPeriod=2024&amp;endPeriod=2024&amp;format=csvdata</x:v>
      </x:c>
      <x:c r="E70" s="14" t="str">
        <x:v>2026-08-02</x:v>
      </x:c>
    </x:row>
    <x:row r="71" ht="31.5" customHeight="1">
      <x:c r="A71" s="14" t="str">
        <x:v>REGISTER-REFERENCE-97704C5CE7D4</x:v>
      </x:c>
      <x:c r="B71" s="14" t="str">
        <x:v>data-api.ecb.europa.eu</x:v>
      </x:c>
      <x:c r="C71" s="14" t="str">
        <x:v>register_reference</x:v>
      </x:c>
      <x:c r="D71" s="14" t="str">
        <x:v>https://data-api.ecb.europa.eu/service/data/EXR/A.USD.EUR.SP00.A?startPeriod=2015&amp;endPeriod=2015&amp;format=csvdata</x:v>
      </x:c>
      <x:c r="E71" s="14" t="str">
        <x:v>2026-08-02</x:v>
      </x:c>
    </x:row>
    <x:row r="72" ht="31.5" customHeight="1">
      <x:c r="A72" s="14" t="str">
        <x:v>REGISTER-REFERENCE-EF5511CEAE3C</x:v>
      </x:c>
      <x:c r="B72" s="14" t="str">
        <x:v>data-api.ecb.europa.eu</x:v>
      </x:c>
      <x:c r="C72" s="14" t="str">
        <x:v>register_reference</x:v>
      </x:c>
      <x:c r="D72" s="14" t="str">
        <x:v>https://data-api.ecb.europa.eu/service/data/EXR/A.USD.EUR.SP00.A?startPeriod=2016&amp;endPeriod=2016&amp;format=csvdata</x:v>
      </x:c>
      <x:c r="E72" s="14" t="str">
        <x:v>2026-08-02</x:v>
      </x:c>
    </x:row>
    <x:row r="73" ht="31.5" customHeight="1">
      <x:c r="A73" s="14" t="str">
        <x:v>REGISTER-REFERENCE-15452EF50F15</x:v>
      </x:c>
      <x:c r="B73" s="14" t="str">
        <x:v>data-api.ecb.europa.eu</x:v>
      </x:c>
      <x:c r="C73" s="14" t="str">
        <x:v>register_reference</x:v>
      </x:c>
      <x:c r="D73" s="14" t="str">
        <x:v>https://data-api.ecb.europa.eu/service/data/EXR/A.USD.EUR.SP00.A?startPeriod=2017&amp;endPeriod=2017&amp;format=csvdata</x:v>
      </x:c>
      <x:c r="E73" s="14" t="str">
        <x:v>2026-08-02</x:v>
      </x:c>
    </x:row>
    <x:row r="74" ht="31.5" customHeight="1">
      <x:c r="A74" s="14" t="str">
        <x:v>REGISTER-REFERENCE-9C7C0F0FD33F</x:v>
      </x:c>
      <x:c r="B74" s="14" t="str">
        <x:v>data-api.ecb.europa.eu</x:v>
      </x:c>
      <x:c r="C74" s="14" t="str">
        <x:v>register_reference</x:v>
      </x:c>
      <x:c r="D74" s="14" t="str">
        <x:v>https://data-api.ecb.europa.eu/service/data/EXR/A.USD.EUR.SP00.A?startPeriod=2018&amp;endPeriod=2018&amp;format=csvdata</x:v>
      </x:c>
      <x:c r="E74" s="14" t="str">
        <x:v>2026-08-02</x:v>
      </x:c>
    </x:row>
    <x:row r="75" ht="31.5" customHeight="1">
      <x:c r="A75" s="14" t="str">
        <x:v>REGISTER-REFERENCE-82A9C0A0E9C4</x:v>
      </x:c>
      <x:c r="B75" s="14" t="str">
        <x:v>data-api.ecb.europa.eu</x:v>
      </x:c>
      <x:c r="C75" s="14" t="str">
        <x:v>register_reference</x:v>
      </x:c>
      <x:c r="D75" s="14" t="str">
        <x:v>https://data-api.ecb.europa.eu/service/data/EXR/A.USD.EUR.SP00.A?startPeriod=2019&amp;endPeriod=2019&amp;format=csvdata</x:v>
      </x:c>
      <x:c r="E75" s="14" t="str">
        <x:v>2026-08-02</x:v>
      </x:c>
    </x:row>
    <x:row r="76" ht="31.5" customHeight="1">
      <x:c r="A76" s="14" t="str">
        <x:v>REGISTER-REFERENCE-25E2E410922F</x:v>
      </x:c>
      <x:c r="B76" s="14" t="str">
        <x:v>data-api.ecb.europa.eu</x:v>
      </x:c>
      <x:c r="C76" s="14" t="str">
        <x:v>register_reference</x:v>
      </x:c>
      <x:c r="D76" s="14" t="str">
        <x:v>https://data-api.ecb.europa.eu/service/data/EXR/A.USD.EUR.SP00.A?startPeriod=2020&amp;endPeriod=2020&amp;format=csvdata</x:v>
      </x:c>
      <x:c r="E76" s="14" t="str">
        <x:v>2026-08-02</x:v>
      </x:c>
    </x:row>
    <x:row r="77" ht="31.5" customHeight="1">
      <x:c r="A77" s="14" t="str">
        <x:v>REGISTER-REFERENCE-74211110370B</x:v>
      </x:c>
      <x:c r="B77" s="14" t="str">
        <x:v>data-api.ecb.europa.eu</x:v>
      </x:c>
      <x:c r="C77" s="14" t="str">
        <x:v>register_reference</x:v>
      </x:c>
      <x:c r="D77" s="14" t="str">
        <x:v>https://data-api.ecb.europa.eu/service/data/EXR/A.USD.EUR.SP00.A?startPeriod=2021&amp;endPeriod=2021&amp;format=csvdata</x:v>
      </x:c>
      <x:c r="E77" s="14" t="str">
        <x:v>2026-08-02</x:v>
      </x:c>
    </x:row>
    <x:row r="78" ht="31.5" customHeight="1">
      <x:c r="A78" s="14" t="str">
        <x:v>REGISTER-REFERENCE-59446D8EB279</x:v>
      </x:c>
      <x:c r="B78" s="14" t="str">
        <x:v>data-api.ecb.europa.eu</x:v>
      </x:c>
      <x:c r="C78" s="14" t="str">
        <x:v>register_reference</x:v>
      </x:c>
      <x:c r="D78" s="14" t="str">
        <x:v>https://data-api.ecb.europa.eu/service/data/EXR/A.USD.EUR.SP00.A?startPeriod=2022&amp;endPeriod=2022&amp;format=csvdata</x:v>
      </x:c>
      <x:c r="E78" s="14" t="str">
        <x:v>2026-08-02</x:v>
      </x:c>
    </x:row>
    <x:row r="79" ht="31.5" customHeight="1">
      <x:c r="A79" s="14" t="str">
        <x:v>REGISTER-REFERENCE-BFB2E2E1B4A3</x:v>
      </x:c>
      <x:c r="B79" s="14" t="str">
        <x:v>data-api.ecb.europa.eu</x:v>
      </x:c>
      <x:c r="C79" s="14" t="str">
        <x:v>register_reference</x:v>
      </x:c>
      <x:c r="D79" s="14" t="str">
        <x:v>https://data-api.ecb.europa.eu/service/data/EXR/A.USD.EUR.SP00.A?startPeriod=2023&amp;endPeriod=2023&amp;format=csvdata</x:v>
      </x:c>
      <x:c r="E79" s="14" t="str">
        <x:v>2026-08-02</x:v>
      </x:c>
    </x:row>
    <x:row r="80" ht="31.5" customHeight="1">
      <x:c r="A80" s="14" t="str">
        <x:v>REGISTER-REFERENCE-D26C27B033B0</x:v>
      </x:c>
      <x:c r="B80" s="14" t="str">
        <x:v>data-api.ecb.europa.eu</x:v>
      </x:c>
      <x:c r="C80" s="14" t="str">
        <x:v>register_reference</x:v>
      </x:c>
      <x:c r="D80" s="14" t="str">
        <x:v>https://data-api.ecb.europa.eu/service/data/EXR/A.USD.EUR.SP00.A?startPeriod=2024&amp;endPeriod=2024&amp;format=csvdata</x:v>
      </x:c>
      <x:c r="E80" s="14" t="str">
        <x:v>2026-08-02</x:v>
      </x:c>
    </x:row>
    <x:row r="81" ht="31.5" customHeight="1">
      <x:c r="A81" s="14" t="str">
        <x:v>REGISTER-REFERENCE-32690599750D</x:v>
      </x:c>
      <x:c r="B81" s="14" t="str">
        <x:v>data-api.ecb.europa.eu</x:v>
      </x:c>
      <x:c r="C81" s="14" t="str">
        <x:v>register_reference</x:v>
      </x:c>
      <x:c r="D81" s="14" t="str">
        <x:v>https://data-api.ecb.europa.eu/service/data/EXR/A.USD.EUR.SP00.A?startPeriod=2025&amp;endPeriod=2025&amp;format=csvdata</x:v>
      </x:c>
      <x:c r="E81" s="14" t="str">
        <x:v>2026-08-02</x:v>
      </x:c>
    </x:row>
    <x:row r="82" ht="31.5" customHeight="1">
      <x:c r="A82" s="14" t="str">
        <x:v>REGISTER-REFERENCE-9B93C76EF890</x:v>
      </x:c>
      <x:c r="B82" s="14" t="str">
        <x:v>data.ecb.europa.eu</x:v>
      </x:c>
      <x:c r="C82" s="14" t="str">
        <x:v>register_reference</x:v>
      </x:c>
      <x:c r="D82" s="14" t="str">
        <x:v>https://data.ecb.europa.eu/data/datasets/exr/data-information</x:v>
      </x:c>
      <x:c r="E82" s="14" t="str">
        <x:v>2026-08-02</x:v>
      </x:c>
    </x:row>
    <x:row r="83" ht="31.5" customHeight="1">
      <x:c r="A83" s="14" t="str">
        <x:v>REGISTER-REFERENCE-2DA87527D51F</x:v>
      </x:c>
      <x:c r="B83" s="14" t="str">
        <x:v>datahelpdesk.worldbank.org</x:v>
      </x:c>
      <x:c r="C83" s="14" t="str">
        <x:v>register_reference</x:v>
      </x:c>
      <x:c r="D83" s="14" t="str">
        <x:v>https://datahelpdesk.worldbank.org/knowledgebase/articles/898581-api-basic-call-structures</x:v>
      </x:c>
      <x:c r="E83" s="14" t="str">
        <x:v>2026-08-02</x:v>
      </x:c>
    </x:row>
    <x:row r="84" ht="31.5" customHeight="1">
      <x:c r="A84" s="14" t="str">
        <x:v>REGISTER-REFERENCE-1208D3C8F46C</x:v>
      </x:c>
      <x:c r="B84" s="14" t="str">
        <x:v>douanes.public.lu</x:v>
      </x:c>
      <x:c r="C84" s="14" t="str">
        <x:v>register_reference</x:v>
      </x:c>
      <x:c r="D84" s="14" t="str">
        <x:v>https://douanes.public.lu/dam-assets/fr/accises/signes-fiscaux/2024/s48/bareme-e-liquide-s48.pdf</x:v>
      </x:c>
      <x:c r="E84" s="14" t="str">
        <x:v>2026-08-02</x:v>
      </x:c>
    </x:row>
    <x:row r="85" ht="31.5" customHeight="1">
      <x:c r="A85" s="14" t="str">
        <x:v>REGISTER-REFERENCE-25E8C2FC0150</x:v>
      </x:c>
      <x:c r="B85" s="14" t="str">
        <x:v>genesis.destatis.de</x:v>
      </x:c>
      <x:c r="C85" s="14" t="str">
        <x:v>register_reference</x:v>
      </x:c>
      <x:c r="D85" s="14" t="str">
        <x:v>https://genesis.destatis.de/datenbank/online/statistic/73411/table/73411-0003/</x:v>
      </x:c>
      <x:c r="E85" s="14" t="str">
        <x:v>2026-08-02</x:v>
      </x:c>
    </x:row>
    <x:row r="86" ht="31.5" customHeight="1">
      <x:c r="A86" s="14" t="str">
        <x:v>REGISTER-REFERENCE-77110A089CB9</x:v>
      </x:c>
      <x:c r="B86" s="14" t="str">
        <x:v>laws-lois.justice.gc.ca</x:v>
      </x:c>
      <x:c r="C86" s="14" t="str">
        <x:v>register_reference</x:v>
      </x:c>
      <x:c r="D86" s="14" t="str">
        <x:v>https://laws-lois.justice.gc.ca/eng/regulations/SOR-2023-123/FullText.html</x:v>
      </x:c>
      <x:c r="E86" s="14" t="str">
        <x:v>2026-08-02</x:v>
      </x:c>
    </x:row>
    <x:row r="87" ht="31.5" customHeight="1">
      <x:c r="A87" s="14" t="str">
        <x:v>REGISTER-REFERENCE-A3B80D981A8D</x:v>
      </x:c>
      <x:c r="B87" s="14" t="str">
        <x:v>adm.gov.it</x:v>
      </x:c>
      <x:c r="C87" s="14" t="str">
        <x:v>register_reference</x:v>
      </x:c>
      <x:c r="D87" s="14" t="str">
        <x:v>https://www.adm.gov.it/portale/documents/20182/261920520/Libro+blu+2024+-+Relazione.pdf/e46989ce-b39f-a404-3b4b-2af3196cba43</x:v>
      </x:c>
      <x:c r="E87" s="14" t="str">
        <x:v>2026-08-02</x:v>
      </x:c>
    </x:row>
    <x:row r="88" ht="31.5" customHeight="1">
      <x:c r="A88" s="14" t="str">
        <x:v>REGISTER-REFERENCE-50ED634F402A</x:v>
      </x:c>
      <x:c r="B88" s="14" t="str">
        <x:v>ecb.europa.eu</x:v>
      </x:c>
      <x:c r="C88" s="14" t="str">
        <x:v>register_reference</x:v>
      </x:c>
      <x:c r="D88" s="14" t="str">
        <x:v>https://www.ecb.europa.eu/stats/policy_and_exchange_rates/euro_reference_exchange_rates/html/index.en.html</x:v>
      </x:c>
      <x:c r="E88" s="14" t="str">
        <x:v>2026-08-02</x:v>
      </x:c>
    </x:row>
    <x:row r="89" ht="31.5" customHeight="1">
      <x:c r="A89" s="14" t="str">
        <x:v>SE-FHM-PUBLIC-RECORD-RESPONSE-2026-07-24</x:v>
      </x:c>
      <x:c r="B89" s="14" t="str">
        <x:v>Public Health Agency of Sweden</x:v>
      </x:c>
      <x:c r="C89" s="14" t="str">
        <x:v>official_reference</x:v>
      </x:c>
      <x:c r="D89" s="14" t="str">
        <x:v>https://www.folkhalsomyndigheten.se/regler-och-tillsyn/tobak-och-nikotinprodukter-regler-for-tillverkning-handel-och-hantering/elektroniska-cigaretter-och-pafyllningsbehallare-sa-foljer-du-reglerna/</x:v>
      </x:c>
      <x:c r="E89" s="14" t="str">
        <x:v>2026-08-02</x:v>
      </x:c>
    </x:row>
    <x:row r="90" ht="31.5" customHeight="1">
      <x:c r="A90" s="14" t="str">
        <x:v>US-FTC-E-CIGARETTE-REPORT-2015-2018</x:v>
      </x:c>
      <x:c r="B90" s="14" t="str">
        <x:v>Federal Trade Commission</x:v>
      </x:c>
      <x:c r="C90" s="14" t="str">
        <x:v>official_report</x:v>
      </x:c>
      <x:c r="D90" s="14" t="str">
        <x:v>https://www.ftc.gov/reports/e-cigarette-report-2015-2018</x:v>
      </x:c>
      <x:c r="E90" s="14" t="str">
        <x:v>2026-08-02</x:v>
      </x:c>
    </x:row>
    <x:row r="91" ht="31.5" customHeight="1">
      <x:c r="A91" s="14" t="str">
        <x:v>US-FTC-E-CIGARETTE-REPORT-2021</x:v>
      </x:c>
      <x:c r="B91" s="14" t="str">
        <x:v>Federal Trade Commission</x:v>
      </x:c>
      <x:c r="C91" s="14" t="str">
        <x:v>official_report</x:v>
      </x:c>
      <x:c r="D91" s="14" t="str">
        <x:v>https://www.ftc.gov/reports/e-cigarette-report-2021</x:v>
      </x:c>
      <x:c r="E91" s="14" t="str">
        <x:v>2026-08-02</x:v>
      </x:c>
    </x:row>
    <x:row r="92" ht="31.5" customHeight="1">
      <x:c r="A92" s="14" t="str">
        <x:v>REGISTER-REFERENCE-E034CF64F670</x:v>
      </x:c>
      <x:c r="B92" s="14" t="str">
        <x:v>health.govt.nz</x:v>
      </x:c>
      <x:c r="C92" s="14" t="str">
        <x:v>register_reference</x:v>
      </x:c>
      <x:c r="D92" s="14" t="str">
        <x:v>https://www.health.govt.nz/regulation-legislation/vaping-herbal-smoking-and-smokeless-tobacco/requirements/complete-a-notifiable-product-annual-return</x:v>
      </x:c>
      <x:c r="E92" s="14" t="str">
        <x:v>2026-08-02</x:v>
      </x:c>
    </x:row>
    <x:row r="93" ht="31.5" customHeight="1">
      <x:c r="A93" s="14" t="str">
        <x:v>REGISTER-REFERENCE-1766C84ECA96</x:v>
      </x:c>
      <x:c r="B93" s="14" t="str">
        <x:v>health.govt.nz</x:v>
      </x:c>
      <x:c r="C93" s="14" t="str">
        <x:v>register_reference</x:v>
      </x:c>
      <x:c r="D93" s="14" t="str">
        <x:v>https://www.health.govt.nz/system/files/2025-11/notifiable-products-annual-sales-return-2025-user-guide.pdf</x:v>
      </x:c>
      <x:c r="E93" s="14" t="str">
        <x:v>2026-08-02</x:v>
      </x:c>
    </x:row>
    <x:row r="94" ht="31.5" customHeight="1">
      <x:c r="A94" s="14" t="str">
        <x:v>REGISTER-REFERENCE-529570B0D6C7</x:v>
      </x:c>
      <x:c r="B94" s="14" t="str">
        <x:v>podatki.gov.pl</x:v>
      </x:c>
      <x:c r="C94" s="14" t="str">
        <x:v>register_reference</x:v>
      </x:c>
      <x:c r="D94" s="14" t="str">
        <x:v>https://www.podatki.gov.pl/akcyza/komunikaty-w-zakresie-podatku-akcyzowego</x:v>
      </x:c>
      <x:c r="E94" s="14" t="str">
        <x:v>2026-08-02</x:v>
      </x:c>
    </x:row>
    <x:row r="95" ht="31.5" customHeight="1">
      <x:c r="A95" s="14" t="str">
        <x:v>REGISTER-REFERENCE-7AD3E1157197</x:v>
      </x:c>
      <x:c r="B95" s="14" t="str">
        <x:v>podatki.gov.pl</x:v>
      </x:c>
      <x:c r="C95" s="14" t="str">
        <x:v>register_reference</x:v>
      </x:c>
      <x:c r="D95" s="14" t="str">
        <x:v>https://www.podatki.gov.pl/akcyza/stawki-podatkowe/</x:v>
      </x:c>
      <x:c r="E95" s="14" t="str">
        <x:v>2026-08-02</x:v>
      </x:c>
    </x:row>
    <x:row r="96" ht="31.5" customHeight="1">
      <x:c r="A96" s="14" t="str">
        <x:v>REGISTER-REFERENCE-645255DD4B34</x:v>
      </x:c>
      <x:c r="B96" s="14" t="str">
        <x:v>stats.govt.nz</x:v>
      </x:c>
      <x:c r="C96" s="14" t="str">
        <x:v>register_reference</x:v>
      </x:c>
      <x:c r="D96" s="14" t="str">
        <x:v>https://www.stats.govt.nz/large-datasets/csv-files-for-download/overseas-merchandise-trade-datasets/</x:v>
      </x:c>
      <x:c r="E96" s="14" t="str">
        <x:v>2026-08-02</x:v>
      </x:c>
    </x:row>
    <x:row r="97" ht="31.5" customHeight="1">
      <x:c r="A97" s="14" t="str">
        <x:v>UN-MEMBER-STATES</x:v>
      </x:c>
      <x:c r="B97" s="14" t="str">
        <x:v>United Nations</x:v>
      </x:c>
      <x:c r="C97" s="14" t="str">
        <x:v>official_reference</x:v>
      </x:c>
      <x:c r="D97" s="14" t="str">
        <x:v>https://www.un.org/en/about-us/member-states</x:v>
      </x:c>
      <x:c r="E97" s="14" t="str">
        <x:v>2026-08-02</x:v>
      </x:c>
    </x:row>
    <x:row r="98" ht="31.5" customHeight="1">
      <x:c r="A98" s="14" t="str">
        <x:v>UN-NON-MEMBER-STATES</x:v>
      </x:c>
      <x:c r="B98" s="14" t="str">
        <x:v>United Nations</x:v>
      </x:c>
      <x:c r="C98" s="14" t="str">
        <x:v>official_reference</x:v>
      </x:c>
      <x:c r="D98" s="14" t="str">
        <x:v>https://www.un.org/en/about-us/non-member-states</x:v>
      </x:c>
      <x:c r="E98" s="14" t="str">
        <x:v>2026-08-02</x:v>
      </x:c>
    </x:row>
    <x:row r="99" ht="31.5" customHeight="1">
      <x:c r="A99" s="14" t="str">
        <x:v>REGISTER-REFERENCE-3332B0031C1D</x:v>
      </x:c>
      <x:c r="B99" s="14" t="str">
        <x:v>www150.statcan.gc.ca</x:v>
      </x:c>
      <x:c r="C99" s="14" t="str">
        <x:v>register_reference</x:v>
      </x:c>
      <x:c r="D99" s="14" t="str">
        <x:v>https://www150.statcan.gc.ca/t1/tbl1/en/tv.action?pid=2010007101</x:v>
      </x:c>
      <x:c r="E99" s="14" t="str">
        <x:v>2026-08-02</x:v>
      </x:c>
    </x:row>
    <x:row r="100" ht="31.5" customHeight="1">
      <x:c r="A100" s="14" t="str">
        <x:v>REGISTER-REFERENCE-D61AFC87FA19</x:v>
      </x:c>
      <x:c r="B100" s="14" t="str">
        <x:v>www150.statcan.gc.ca</x:v>
      </x:c>
      <x:c r="C100" s="14" t="str">
        <x:v>register_reference</x:v>
      </x:c>
      <x:c r="D100" s="14" t="str">
        <x:v>https://www150.statcan.gc.ca/t1/tbl1/en/tv.action?pid=2010008001</x:v>
      </x:c>
      <x:c r="E100" s="14" t="str">
        <x:v>2026-08-02</x:v>
      </x:c>
    </x:row>
    <x:row r="101" ht="31.5" customHeight="1">
      <x:c r="A101" s="14" t="str">
        <x:v>REGISTER-REFERENCE-9479B1548E50</x:v>
      </x:c>
      <x:c r="B101" s="14" t="str">
        <x:v>www3.stats.govt.nz</x:v>
      </x:c>
      <x:c r="C101" s="14" t="str">
        <x:v>register_reference</x:v>
      </x:c>
      <x:c r="D101" s="14" t="str">
        <x:v>https://www3.stats.govt.nz/HS10_by_Country/2024_Exports_HS10.zip</x:v>
      </x:c>
      <x:c r="E101" s="14" t="str">
        <x:v>2026-08-02</x:v>
      </x:c>
    </x:row>
    <x:row r="102" ht="31.5" customHeight="1">
      <x:c r="A102" s="15" t="str">
        <x:v>REGISTER-REFERENCE-94B1312153E9</x:v>
      </x:c>
      <x:c r="B102" s="15" t="str">
        <x:v>www3.stats.govt.nz</x:v>
      </x:c>
      <x:c r="C102" s="15" t="str">
        <x:v>register_reference</x:v>
      </x:c>
      <x:c r="D102" s="15" t="str">
        <x:v>https://www3.stats.govt.nz/HS10_by_Country/2024_Imports_HS10.zip</x:v>
      </x:c>
      <x:c r="E102" s="15" t="str">
        <x:v>2026-08-02</x:v>
      </x:c>
    </x:row>
  </x:sheetData>
  <x:pageMargins left="0.7" right="0.7" top="0.75" bottom="0.75" header="0.3" footer="0.3"/>
  <x:tableParts count="1">
    <x:tablePart xmlns:r="http://schemas.openxmlformats.org/officeDocument/2006/relationships" r:id="Ra6c4dc40110f477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36.66999816894531" hidden="0" customWidth="1"/>
    <x:col min="3" max="3" width="28.889999389648438" hidden="0" customWidth="1"/>
    <x:col min="4" max="4" width="23.329999923706055" hidden="0" customWidth="1"/>
    <x:col min="5" max="5" width="10" hidden="0" customWidth="1"/>
    <x:col min="6" max="6" width="16.670000076293945" hidden="0" customWidth="1"/>
    <x:col min="7" max="7" width="21.110000610351562" hidden="0" customWidth="1"/>
    <x:col min="8" max="8" width="11.109999656677246" hidden="0" customWidth="1"/>
    <x:col min="9" max="9" width="23.329999923706055" hidden="0" customWidth="1"/>
    <x:col min="10" max="10" width="24.440000534057617" hidden="0" customWidth="1"/>
    <x:col min="11" max="11" width="32.220001220703125" hidden="0" customWidth="1"/>
    <x:col min="12" max="12" width="68.88999938964844" hidden="0" customWidth="1"/>
    <x:col min="13" max="13" width="16.670000076293945" hidden="0" customWidth="1"/>
    <x:col min="14" max="14" width="36.66999816894531" hidden="0" customWidth="1"/>
  </x:cols>
  <x:sheetData>
    <x:row r="1" ht="37.5" customHeight="1">
      <x:c r="A1" s="5" t="str">
        <x:v>Tietuetyyppi</x:v>
      </x:c>
      <x:c r="B1" s="5" t="str">
        <x:v>Tunniste</x:v>
      </x:c>
      <x:c r="C1" s="5" t="str">
        <x:v>Erä / komponentti</x:v>
      </x:c>
      <x:c r="D1" s="5" t="str">
        <x:v>Maa / maantiede</x:v>
      </x:c>
      <x:c r="E1" s="5" t="str">
        <x:v>Vuosi</x:v>
      </x:c>
      <x:c r="F1" s="5" t="str">
        <x:v>Periodi</x:v>
      </x:c>
      <x:c r="G1" s="5" t="str">
        <x:v>Alkuperäinen määrä</x:v>
      </x:c>
      <x:c r="H1" s="5" t="str">
        <x:v>Valuutta</x:v>
      </x:c>
      <x:c r="I1" s="5" t="str">
        <x:v>ECB-kurssi (valuuttayksikköä / EUR)</x:v>
      </x:c>
      <x:c r="J1" s="5" t="str">
        <x:v>EUR-vasta-arvo (täysi tarkkuus)</x:v>
      </x:c>
      <x:c r="K1" s="5" t="str">
        <x:v>Rate ID</x:v>
      </x:c>
      <x:c r="L1" s="5" t="str">
        <x:v>ECB-lähde URL</x:v>
      </x:c>
      <x:c r="M1" s="5" t="str">
        <x:v>Tila</x:v>
      </x:c>
      <x:c r="N1" s="5" t="str">
        <x:v>Syy / menetelmä</x:v>
      </x:c>
    </x:row>
    <x:row r="2" ht="25.5" customHeight="1">
      <x:c r="A2" s="13" t="str">
        <x:v>market_observation</x:v>
      </x:c>
      <x:c r="B2" s="13" t="str">
        <x:v>CA-2024-MANUFACTURER-IMPORTER-SHIPMENTS-VALUE</x:v>
      </x:c>
      <x:c r="C2" s="13" t="str">
        <x:v>manufacturer_importer_shipments_value</x:v>
      </x:c>
      <x:c r="D2" s="13" t="str">
        <x:v>Canada</x:v>
      </x:c>
      <x:c r="E2" s="13" t="n">
        <x:v>2024</x:v>
      </x:c>
      <x:c r="F2" s="13" t="str">
        <x:v>calendar_year</x:v>
      </x:c>
      <x:c r="G2" s="44" t="n">
        <x:v>1160753796.78</x:v>
      </x:c>
      <x:c r="H2" s="44" t="str">
        <x:v>CAD</x:v>
      </x:c>
      <x:c r="I2" s="44" t="n">
        <x:v>1.482110546875</x:v>
      </x:c>
      <x:c r="J2" s="44" t="n">
        <x:f>G2/I2</x:f>
        <x:v>783176261.1955132</x:v>
      </x:c>
      <x:c r="K2" s="13" t="str">
        <x:v>ECB-EXR-A-CAD-EUR-SP00-A-2024</x:v>
      </x:c>
      <x:c r="L2" s="13" t="str">
        <x:v>https://data-api.ecb.europa.eu/service/data/EXR/A.CAD.EUR.SP00.A?startPeriod=2024&amp;endPeriod=2024&amp;format=csvdata</x:v>
      </x:c>
      <x:c r="M2" s="13" t="str">
        <x:v>computed</x:v>
      </x:c>
      <x:c r="N2" s="13" t="str">
        <x:v>original_amount_divided_by_ecb_annual_average</x:v>
      </x:c>
    </x:row>
    <x:row r="3" ht="25.5" customHeight="1">
      <x:c r="A3" s="14" t="str">
        <x:v>market_observation</x:v>
      </x:c>
      <x:c r="B3" s="14" t="str">
        <x:v>CA-2019-STATCAN-RCS-VAPING-RETAIL-SALES</x:v>
      </x:c>
      <x:c r="C3" s="14" t="str">
        <x:v>statcan_rcs_vaping_retail_sales</x:v>
      </x:c>
      <x:c r="D3" s="14" t="str">
        <x:v>Canada</x:v>
      </x:c>
      <x:c r="E3" s="14" t="n">
        <x:v>2019</x:v>
      </x:c>
      <x:c r="F3" s="14" t="str">
        <x:v>calendar_year</x:v>
      </x:c>
      <x:c r="G3" s="45" t="n">
        <x:v>477077000</x:v>
      </x:c>
      <x:c r="H3" s="45" t="str">
        <x:v>CAD</x:v>
      </x:c>
      <x:c r="I3" s="45" t="n">
        <x:v>1.485477254902</x:v>
      </x:c>
      <x:c r="J3" s="45" t="n">
        <x:f>G3/I3</x:f>
        <x:v>321160757.20827764</x:v>
      </x:c>
      <x:c r="K3" s="14" t="str">
        <x:v>ECB-EXR-A-CAD-EUR-SP00-A-2019</x:v>
      </x:c>
      <x:c r="L3" s="14" t="str">
        <x:v>https://data-api.ecb.europa.eu/service/data/EXR/A.CAD.EUR.SP00.A?startPeriod=2019&amp;endPeriod=2019&amp;format=csvdata</x:v>
      </x:c>
      <x:c r="M3" s="14" t="str">
        <x:v>computed</x:v>
      </x:c>
      <x:c r="N3" s="14" t="str">
        <x:v>original_amount_divided_by_ecb_annual_average</x:v>
      </x:c>
    </x:row>
    <x:row r="4" ht="25.5" customHeight="1">
      <x:c r="A4" s="14" t="str">
        <x:v>market_observation</x:v>
      </x:c>
      <x:c r="B4" s="14" t="str">
        <x:v>CA-2020-STATCAN-RCS-VAPING-RETAIL-SALES</x:v>
      </x:c>
      <x:c r="C4" s="14" t="str">
        <x:v>statcan_rcs_vaping_retail_sales</x:v>
      </x:c>
      <x:c r="D4" s="14" t="str">
        <x:v>Canada</x:v>
      </x:c>
      <x:c r="E4" s="14" t="n">
        <x:v>2020</x:v>
      </x:c>
      <x:c r="F4" s="14" t="str">
        <x:v>calendar_year</x:v>
      </x:c>
      <x:c r="G4" s="45" t="n">
        <x:v>520647000</x:v>
      </x:c>
      <x:c r="H4" s="45" t="str">
        <x:v>CAD</x:v>
      </x:c>
      <x:c r="I4" s="45" t="n">
        <x:v>1.5299926070039</x:v>
      </x:c>
      <x:c r="J4" s="45" t="n">
        <x:f>G4/I4</x:f>
        <x:v>340293801.1704215</x:v>
      </x:c>
      <x:c r="K4" s="14" t="str">
        <x:v>ECB-EXR-A-CAD-EUR-SP00-A-2020</x:v>
      </x:c>
      <x:c r="L4" s="14" t="str">
        <x:v>https://data-api.ecb.europa.eu/service/data/EXR/A.CAD.EUR.SP00.A?startPeriod=2020&amp;endPeriod=2020&amp;format=csvdata</x:v>
      </x:c>
      <x:c r="M4" s="14" t="str">
        <x:v>computed</x:v>
      </x:c>
      <x:c r="N4" s="14" t="str">
        <x:v>original_amount_divided_by_ecb_annual_average</x:v>
      </x:c>
    </x:row>
    <x:row r="5" ht="25.5" customHeight="1">
      <x:c r="A5" s="14" t="str">
        <x:v>market_observation</x:v>
      </x:c>
      <x:c r="B5" s="14" t="str">
        <x:v>CA-2021-STATCAN-RCS-VAPING-RETAIL-SALES</x:v>
      </x:c>
      <x:c r="C5" s="14" t="str">
        <x:v>statcan_rcs_vaping_retail_sales</x:v>
      </x:c>
      <x:c r="D5" s="14" t="str">
        <x:v>Canada</x:v>
      </x:c>
      <x:c r="E5" s="14" t="n">
        <x:v>2021</x:v>
      </x:c>
      <x:c r="F5" s="14" t="str">
        <x:v>calendar_year</x:v>
      </x:c>
      <x:c r="G5" s="45" t="n">
        <x:v>992732000</x:v>
      </x:c>
      <x:c r="H5" s="45" t="str">
        <x:v>CAD</x:v>
      </x:c>
      <x:c r="I5" s="45" t="n">
        <x:v>1.4825689922481</x:v>
      </x:c>
      <x:c r="J5" s="45" t="n">
        <x:f>G5/I5</x:f>
        <x:v>669602565.0008142</x:v>
      </x:c>
      <x:c r="K5" s="14" t="str">
        <x:v>ECB-EXR-A-CAD-EUR-SP00-A-2021</x:v>
      </x:c>
      <x:c r="L5" s="14" t="str">
        <x:v>https://data-api.ecb.europa.eu/service/data/EXR/A.CAD.EUR.SP00.A?startPeriod=2021&amp;endPeriod=2021&amp;format=csvdata</x:v>
      </x:c>
      <x:c r="M5" s="14" t="str">
        <x:v>computed</x:v>
      </x:c>
      <x:c r="N5" s="14" t="str">
        <x:v>original_amount_divided_by_ecb_annual_average</x:v>
      </x:c>
    </x:row>
    <x:row r="6" ht="25.5" customHeight="1">
      <x:c r="A6" s="14" t="str">
        <x:v>market_observation</x:v>
      </x:c>
      <x:c r="B6" s="14" t="str">
        <x:v>CA-2022-STATCAN-RCS-VAPING-RETAIL-SALES</x:v>
      </x:c>
      <x:c r="C6" s="14" t="str">
        <x:v>statcan_rcs_vaping_retail_sales</x:v>
      </x:c>
      <x:c r="D6" s="14" t="str">
        <x:v>Canada</x:v>
      </x:c>
      <x:c r="E6" s="14" t="n">
        <x:v>2022</x:v>
      </x:c>
      <x:c r="F6" s="14" t="str">
        <x:v>calendar_year</x:v>
      </x:c>
      <x:c r="G6" s="45" t="n">
        <x:v>1277158000</x:v>
      </x:c>
      <x:c r="H6" s="45" t="str">
        <x:v>CAD</x:v>
      </x:c>
      <x:c r="I6" s="45" t="n">
        <x:v>1.3694910505837</x:v>
      </x:c>
      <x:c r="J6" s="45" t="n">
        <x:f>G6/I6</x:f>
        <x:v>932578565.924658</x:v>
      </x:c>
      <x:c r="K6" s="14" t="str">
        <x:v>ECB-EXR-A-CAD-EUR-SP00-A-2022</x:v>
      </x:c>
      <x:c r="L6" s="14" t="str">
        <x:v>https://data-api.ecb.europa.eu/service/data/EXR/A.CAD.EUR.SP00.A?startPeriod=2022&amp;endPeriod=2022&amp;format=csvdata</x:v>
      </x:c>
      <x:c r="M6" s="14" t="str">
        <x:v>computed</x:v>
      </x:c>
      <x:c r="N6" s="14" t="str">
        <x:v>original_amount_divided_by_ecb_annual_average</x:v>
      </x:c>
    </x:row>
    <x:row r="7" ht="25.5" customHeight="1">
      <x:c r="A7" s="14" t="str">
        <x:v>market_observation</x:v>
      </x:c>
      <x:c r="B7" s="14" t="str">
        <x:v>CA-2023-STATCAN-RCS-VAPING-RETAIL-SALES</x:v>
      </x:c>
      <x:c r="C7" s="14" t="str">
        <x:v>statcan_rcs_vaping_retail_sales</x:v>
      </x:c>
      <x:c r="D7" s="14" t="str">
        <x:v>Canada</x:v>
      </x:c>
      <x:c r="E7" s="14" t="n">
        <x:v>2023</x:v>
      </x:c>
      <x:c r="F7" s="14" t="str">
        <x:v>calendar_year</x:v>
      </x:c>
      <x:c r="G7" s="45" t="n">
        <x:v>1530758000</x:v>
      </x:c>
      <x:c r="H7" s="45" t="str">
        <x:v>CAD</x:v>
      </x:c>
      <x:c r="I7" s="45" t="n">
        <x:v>1.459468627451</x:v>
      </x:c>
      <x:c r="J7" s="45" t="n">
        <x:f>G7/I7</x:f>
        <x:v>1048846115.091565</x:v>
      </x:c>
      <x:c r="K7" s="14" t="str">
        <x:v>ECB-EXR-A-CAD-EUR-SP00-A-2023</x:v>
      </x:c>
      <x:c r="L7" s="14" t="str">
        <x:v>https://data-api.ecb.europa.eu/service/data/EXR/A.CAD.EUR.SP00.A?startPeriod=2023&amp;endPeriod=2023&amp;format=csvdata</x:v>
      </x:c>
      <x:c r="M7" s="14" t="str">
        <x:v>computed</x:v>
      </x:c>
      <x:c r="N7" s="14" t="str">
        <x:v>original_amount_divided_by_ecb_annual_average</x:v>
      </x:c>
    </x:row>
    <x:row r="8" ht="25.5" customHeight="1">
      <x:c r="A8" s="14" t="str">
        <x:v>market_observation</x:v>
      </x:c>
      <x:c r="B8" s="14" t="str">
        <x:v>CA-2024-STATCAN-RCS-VAPING-RETAIL-SALES</x:v>
      </x:c>
      <x:c r="C8" s="14" t="str">
        <x:v>statcan_rcs_vaping_retail_sales</x:v>
      </x:c>
      <x:c r="D8" s="14" t="str">
        <x:v>Canada</x:v>
      </x:c>
      <x:c r="E8" s="14" t="n">
        <x:v>2024</x:v>
      </x:c>
      <x:c r="F8" s="14" t="str">
        <x:v>calendar_year</x:v>
      </x:c>
      <x:c r="G8" s="45" t="n">
        <x:v>1219160000</x:v>
      </x:c>
      <x:c r="H8" s="45" t="str">
        <x:v>CAD</x:v>
      </x:c>
      <x:c r="I8" s="45" t="n">
        <x:v>1.482110546875</x:v>
      </x:c>
      <x:c r="J8" s="45" t="n">
        <x:f>G8/I8</x:f>
        <x:v>822583715.2097555</x:v>
      </x:c>
      <x:c r="K8" s="14" t="str">
        <x:v>ECB-EXR-A-CAD-EUR-SP00-A-2024</x:v>
      </x:c>
      <x:c r="L8" s="14" t="str">
        <x:v>https://data-api.ecb.europa.eu/service/data/EXR/A.CAD.EUR.SP00.A?startPeriod=2024&amp;endPeriod=2024&amp;format=csvdata</x:v>
      </x:c>
      <x:c r="M8" s="14" t="str">
        <x:v>computed</x:v>
      </x:c>
      <x:c r="N8" s="14" t="str">
        <x:v>original_amount_divided_by_ecb_annual_average</x:v>
      </x:c>
    </x:row>
    <x:row r="9" ht="25.5" customHeight="1">
      <x:c r="A9" s="14" t="str">
        <x:v>market_observation</x:v>
      </x:c>
      <x:c r="B9" s="14" t="str">
        <x:v>CA-2025-STATCAN-RCS-VAPING-RETAIL-SALES</x:v>
      </x:c>
      <x:c r="C9" s="14" t="str">
        <x:v>statcan_rcs_vaping_retail_sales</x:v>
      </x:c>
      <x:c r="D9" s="14" t="str">
        <x:v>Canada</x:v>
      </x:c>
      <x:c r="E9" s="14" t="n">
        <x:v>2025</x:v>
      </x:c>
      <x:c r="F9" s="14" t="str">
        <x:v>calendar_year</x:v>
      </x:c>
      <x:c r="G9" s="45" t="n">
        <x:v>1266567000</x:v>
      </x:c>
      <x:c r="H9" s="45" t="str">
        <x:v>CAD</x:v>
      </x:c>
      <x:c r="I9" s="45" t="n">
        <x:v>1.5787262745098</x:v>
      </x:c>
      <x:c r="J9" s="45" t="n">
        <x:f>G9/I9</x:f>
        <x:v>802271438.9758753</x:v>
      </x:c>
      <x:c r="K9" s="14" t="str">
        <x:v>ECB-EXR-A-CAD-EUR-SP00-A-2025</x:v>
      </x:c>
      <x:c r="L9" s="14" t="str">
        <x:v>https://data-api.ecb.europa.eu/service/data/EXR/A.CAD.EUR.SP00.A?startPeriod=2025&amp;endPeriod=2025&amp;format=csvdata</x:v>
      </x:c>
      <x:c r="M9" s="14" t="str">
        <x:v>computed</x:v>
      </x:c>
      <x:c r="N9" s="14" t="str">
        <x:v>original_amount_divided_by_ecb_annual_average</x:v>
      </x:c>
    </x:row>
    <x:row r="10" ht="25.5" customHeight="1">
      <x:c r="A10" s="14" t="str">
        <x:v>market_observation</x:v>
      </x:c>
      <x:c r="B10" s="14" t="str">
        <x:v>NZ-2022-NOTIFIABLE-PRODUCT-REPORTED-REVENUE</x:v>
      </x:c>
      <x:c r="C10" s="14" t="str">
        <x:v>official_reported_revenue_mixed_supply_stages</x:v>
      </x:c>
      <x:c r="D10" s="14" t="str">
        <x:v>New Zealand</x:v>
      </x:c>
      <x:c r="E10" s="14" t="n">
        <x:v>2022</x:v>
      </x:c>
      <x:c r="F10" s="14" t="str">
        <x:v>calendar_year</x:v>
      </x:c>
      <x:c r="G10" s="45" t="n">
        <x:v>404000000</x:v>
      </x:c>
      <x:c r="H10" s="45" t="str">
        <x:v>NZD</x:v>
      </x:c>
      <x:c r="I10" s="45" t="n">
        <x:v>1.6582474708171</x:v>
      </x:c>
      <x:c r="J10" s="45" t="n">
        <x:f>G10/I10</x:f>
        <x:v>243630704.7710613</x:v>
      </x:c>
      <x:c r="K10" s="14" t="str">
        <x:v>ECB-EXR-A-NZD-EUR-SP00-A-2022</x:v>
      </x:c>
      <x:c r="L10" s="14" t="str">
        <x:v>https://data-api.ecb.europa.eu/service/data/EXR/A.NZD.EUR.SP00.A?startPeriod=2022&amp;endPeriod=2022&amp;format=csvdata</x:v>
      </x:c>
      <x:c r="M10" s="14" t="str">
        <x:v>computed</x:v>
      </x:c>
      <x:c r="N10" s="14" t="str">
        <x:v>original_amount_divided_by_ecb_annual_average</x:v>
      </x:c>
    </x:row>
    <x:row r="11" ht="25.5" customHeight="1">
      <x:c r="A11" s="14" t="str">
        <x:v>market_observation</x:v>
      </x:c>
      <x:c r="B11" s="14" t="str">
        <x:v>NZ-2023-NOTIFIABLE-PRODUCT-REPORTED-REVENUE-LOWER-BOUND</x:v>
      </x:c>
      <x:c r="C11" s="14" t="str">
        <x:v>official_reported_revenue_mixed_supply_stages</x:v>
      </x:c>
      <x:c r="D11" s="14" t="str">
        <x:v>New Zealand</x:v>
      </x:c>
      <x:c r="E11" s="14" t="n">
        <x:v>2023</x:v>
      </x:c>
      <x:c r="F11" s="14" t="str">
        <x:v>calendar_year</x:v>
      </x:c>
      <x:c r="G11" s="45" t="n">
        <x:v>374000000</x:v>
      </x:c>
      <x:c r="H11" s="45" t="str">
        <x:v>NZD</x:v>
      </x:c>
      <x:c r="I11" s="45" t="n">
        <x:v>1.762151372549</x:v>
      </x:c>
      <x:c r="J11" s="45" t="n">
        <x:f>G11/I11</x:f>
        <x:v>212240563.33991262</x:v>
      </x:c>
      <x:c r="K11" s="14" t="str">
        <x:v>ECB-EXR-A-NZD-EUR-SP00-A-2023</x:v>
      </x:c>
      <x:c r="L11" s="14" t="str">
        <x:v>https://data-api.ecb.europa.eu/service/data/EXR/A.NZD.EUR.SP00.A?startPeriod=2023&amp;endPeriod=2023&amp;format=csvdata</x:v>
      </x:c>
      <x:c r="M11" s="14" t="str">
        <x:v>computed</x:v>
      </x:c>
      <x:c r="N11" s="14" t="str">
        <x:v>original_amount_divided_by_ecb_annual_average</x:v>
      </x:c>
    </x:row>
    <x:row r="12" ht="25.5" customHeight="1">
      <x:c r="A12" s="14" t="str">
        <x:v>market_observation</x:v>
      </x:c>
      <x:c r="B12" s="14" t="str">
        <x:v>NZ-2024-SPECIALIST-RETAIL-SALES-LOWER-BOUND</x:v>
      </x:c>
      <x:c r="C12" s="14" t="str">
        <x:v>official_specialist_retail_sales_lower_bound</x:v>
      </x:c>
      <x:c r="D12" s="14" t="str">
        <x:v>New Zealand</x:v>
      </x:c>
      <x:c r="E12" s="14" t="n">
        <x:v>2024</x:v>
      </x:c>
      <x:c r="F12" s="14" t="str">
        <x:v>calendar_year</x:v>
      </x:c>
      <x:c r="G12" s="45" t="n">
        <x:v>280000000</x:v>
      </x:c>
      <x:c r="H12" s="45" t="str">
        <x:v>NZD</x:v>
      </x:c>
      <x:c r="I12" s="45" t="n">
        <x:v>1.788048828125</x:v>
      </x:c>
      <x:c r="J12" s="45" t="n">
        <x:f>G12/I12</x:f>
        <x:v>156595276.14445302</x:v>
      </x:c>
      <x:c r="K12" s="14" t="str">
        <x:v>ECB-EXR-A-NZD-EUR-SP00-A-2024</x:v>
      </x:c>
      <x:c r="L12" s="14" t="str">
        <x:v>https://data-api.ecb.europa.eu/service/data/EXR/A.NZD.EUR.SP00.A?startPeriod=2024&amp;endPeriod=2024&amp;format=csvdata</x:v>
      </x:c>
      <x:c r="M12" s="14" t="str">
        <x:v>computed</x:v>
      </x:c>
      <x:c r="N12" s="14" t="str">
        <x:v>original_amount_divided_by_ecb_annual_average</x:v>
      </x:c>
    </x:row>
    <x:row r="13" ht="25.5" customHeight="1">
      <x:c r="A13" s="14" t="str">
        <x:v>market_observation</x:v>
      </x:c>
      <x:c r="B13" s="14" t="str">
        <x:v>NZ-2024-SPECIALIST-RETAIL-PRODUCT-SALES-RAW-FILE-SUM</x:v>
      </x:c>
      <x:c r="C13" s="14" t="str">
        <x:v>derived_official_workbook_sales_raw_sum</x:v>
      </x:c>
      <x:c r="D13" s="14" t="str">
        <x:v>New Zealand</x:v>
      </x:c>
      <x:c r="E13" s="14" t="n">
        <x:v>2024</x:v>
      </x:c>
      <x:c r="F13" s="14" t="str">
        <x:v>calendar_year</x:v>
      </x:c>
      <x:c r="G13" s="45" t="n">
        <x:v>280684512.81</x:v>
      </x:c>
      <x:c r="H13" s="45" t="str">
        <x:v>NZD</x:v>
      </x:c>
      <x:c r="I13" s="45" t="n">
        <x:v>1.788048828125</x:v>
      </x:c>
      <x:c r="J13" s="45" t="n">
        <x:f>G13/I13</x:f>
        <x:v>156978102.83197576</x:v>
      </x:c>
      <x:c r="K13" s="14" t="str">
        <x:v>ECB-EXR-A-NZD-EUR-SP00-A-2024</x:v>
      </x:c>
      <x:c r="L13" s="14" t="str">
        <x:v>https://data-api.ecb.europa.eu/service/data/EXR/A.NZD.EUR.SP00.A?startPeriod=2024&amp;endPeriod=2024&amp;format=csvdata</x:v>
      </x:c>
      <x:c r="M13" s="14" t="str">
        <x:v>computed</x:v>
      </x:c>
      <x:c r="N13" s="14" t="str">
        <x:v>original_amount_divided_by_ecb_annual_average</x:v>
      </x:c>
    </x:row>
    <x:row r="14" ht="25.5" customHeight="1">
      <x:c r="A14" s="14" t="str">
        <x:v>market_observation</x:v>
      </x:c>
      <x:c r="B14" s="14" t="str">
        <x:v>NZ-2024-IDENTIFIED-VAPING-PRODUCT-SALES-RAW-SUM</x:v>
      </x:c>
      <x:c r="C14" s="14" t="str">
        <x:v>derived_identified_vaping_product_sales_raw_sum</x:v>
      </x:c>
      <x:c r="D14" s="14" t="str">
        <x:v>New Zealand</x:v>
      </x:c>
      <x:c r="E14" s="14" t="n">
        <x:v>2024</x:v>
      </x:c>
      <x:c r="F14" s="14" t="str">
        <x:v>calendar_year</x:v>
      </x:c>
      <x:c r="G14" s="45" t="n">
        <x:v>274180410.21</x:v>
      </x:c>
      <x:c r="H14" s="45" t="str">
        <x:v>NZD</x:v>
      </x:c>
      <x:c r="I14" s="45" t="n">
        <x:v>1.788048828125</x:v>
      </x:c>
      <x:c r="J14" s="45" t="n">
        <x:f>G14/I14</x:f>
        <x:v>153340560.89369413</x:v>
      </x:c>
      <x:c r="K14" s="14" t="str">
        <x:v>ECB-EXR-A-NZD-EUR-SP00-A-2024</x:v>
      </x:c>
      <x:c r="L14" s="14" t="str">
        <x:v>https://data-api.ecb.europa.eu/service/data/EXR/A.NZD.EUR.SP00.A?startPeriod=2024&amp;endPeriod=2024&amp;format=csvdata</x:v>
      </x:c>
      <x:c r="M14" s="14" t="str">
        <x:v>computed</x:v>
      </x:c>
      <x:c r="N14" s="14" t="str">
        <x:v>original_amount_divided_by_ecb_annual_average</x:v>
      </x:c>
    </x:row>
    <x:row r="15" ht="25.5" customHeight="1">
      <x:c r="A15" s="14" t="str">
        <x:v>market_observation</x:v>
      </x:c>
      <x:c r="B15" s="14" t="str">
        <x:v>EU-2023-EC-E-CIGARETTE-MARKET-BENCHMARK</x:v>
      </x:c>
      <x:c r="C15" s="14" t="str">
        <x:v>institutional_market_value_benchmark</x:v>
      </x:c>
      <x:c r="D15" s="14" t="str">
        <x:v>European Union</x:v>
      </x:c>
      <x:c r="E15" s="14" t="n">
        <x:v>2023</x:v>
      </x:c>
      <x:c r="F15" s="14" t="str">
        <x:v>calendar_year</x:v>
      </x:c>
      <x:c r="G15" s="45" t="n">
        <x:v>4990000000</x:v>
      </x:c>
      <x:c r="H15" s="45" t="str">
        <x:v>EUR</x:v>
      </x:c>
      <x:c r="I15" s="45" t="n">
        <x:v>1</x:v>
      </x:c>
      <x:c r="J15" s="45" t="n">
        <x:f>G15</x:f>
        <x:v>4990000000</x:v>
      </x:c>
      <x:c r="K15" s="14" t="str">
        <x:v>EUR-IDENTITY</x:v>
      </x:c>
      <x:c r="L15" s="14" t="str">
        <x:v>https://www.ecb.europa.eu/stats/policy_and_exchange_rates/euro_reference_exchange_rates/html/index.en.html</x:v>
      </x:c>
      <x:c r="M15" s="14" t="str">
        <x:v>already_eur</x:v>
      </x:c>
      <x:c r="N15" s="14" t="str">
        <x:v>original_currency_already_eur</x:v>
      </x:c>
    </x:row>
    <x:row r="16" ht="25.5" customHeight="1">
      <x:c r="A16" s="14" t="str">
        <x:v>market_observation</x:v>
      </x:c>
      <x:c r="B16" s="14" t="str">
        <x:v>DE-2023-SUBSTITUTES-EXCISE-RECEIPTS</x:v>
      </x:c>
      <x:c r="C16" s="14" t="str">
        <x:v>substitutes_excise_receipts</x:v>
      </x:c>
      <x:c r="D16" s="14" t="str">
        <x:v>Germany</x:v>
      </x:c>
      <x:c r="E16" s="14" t="n">
        <x:v>2023</x:v>
      </x:c>
      <x:c r="F16" s="14" t="str">
        <x:v>calendar_year</x:v>
      </x:c>
      <x:c r="G16" s="45" t="n">
        <x:v>201000000</x:v>
      </x:c>
      <x:c r="H16" s="45" t="str">
        <x:v>EUR</x:v>
      </x:c>
      <x:c r="I16" s="45" t="n">
        <x:v>1</x:v>
      </x:c>
      <x:c r="J16" s="45" t="n">
        <x:f>G16</x:f>
        <x:v>201000000</x:v>
      </x:c>
      <x:c r="K16" s="14" t="str">
        <x:v>EUR-IDENTITY</x:v>
      </x:c>
      <x:c r="L16" s="14" t="str">
        <x:v>https://www.ecb.europa.eu/stats/policy_and_exchange_rates/euro_reference_exchange_rates/html/index.en.html</x:v>
      </x:c>
      <x:c r="M16" s="14" t="str">
        <x:v>already_eur</x:v>
      </x:c>
      <x:c r="N16" s="14" t="str">
        <x:v>original_currency_already_eur</x:v>
      </x:c>
    </x:row>
    <x:row r="17" ht="25.5" customHeight="1">
      <x:c r="A17" s="14" t="str">
        <x:v>market_observation</x:v>
      </x:c>
      <x:c r="B17" s="14" t="str">
        <x:v>DE-2024-SUBSTITUTES-EXCISE-RECEIPTS</x:v>
      </x:c>
      <x:c r="C17" s="14" t="str">
        <x:v>substitutes_excise_receipts</x:v>
      </x:c>
      <x:c r="D17" s="14" t="str">
        <x:v>Germany</x:v>
      </x:c>
      <x:c r="E17" s="14" t="n">
        <x:v>2024</x:v>
      </x:c>
      <x:c r="F17" s="14" t="str">
        <x:v>calendar_year</x:v>
      </x:c>
      <x:c r="G17" s="45" t="n">
        <x:v>266000000</x:v>
      </x:c>
      <x:c r="H17" s="45" t="str">
        <x:v>EUR</x:v>
      </x:c>
      <x:c r="I17" s="45" t="n">
        <x:v>1</x:v>
      </x:c>
      <x:c r="J17" s="45" t="n">
        <x:f>G17</x:f>
        <x:v>266000000</x:v>
      </x:c>
      <x:c r="K17" s="14" t="str">
        <x:v>EUR-IDENTITY</x:v>
      </x:c>
      <x:c r="L17" s="14" t="str">
        <x:v>https://www.ecb.europa.eu/stats/policy_and_exchange_rates/euro_reference_exchange_rates/html/index.en.html</x:v>
      </x:c>
      <x:c r="M17" s="14" t="str">
        <x:v>already_eur</x:v>
      </x:c>
      <x:c r="N17" s="14" t="str">
        <x:v>original_currency_already_eur</x:v>
      </x:c>
    </x:row>
    <x:row r="18" ht="25.5" customHeight="1">
      <x:c r="A18" s="14" t="str">
        <x:v>market_observation</x:v>
      </x:c>
      <x:c r="B18" s="14" t="str">
        <x:v>DE-2025-SUBSTITUTES-EXCISE-RECEIPTS</x:v>
      </x:c>
      <x:c r="C18" s="14" t="str">
        <x:v>substitutes_excise_receipts</x:v>
      </x:c>
      <x:c r="D18" s="14" t="str">
        <x:v>Germany</x:v>
      </x:c>
      <x:c r="E18" s="14" t="n">
        <x:v>2025</x:v>
      </x:c>
      <x:c r="F18" s="14" t="str">
        <x:v>calendar_year</x:v>
      </x:c>
      <x:c r="G18" s="45" t="n">
        <x:v>404000000</x:v>
      </x:c>
      <x:c r="H18" s="45" t="str">
        <x:v>EUR</x:v>
      </x:c>
      <x:c r="I18" s="45" t="n">
        <x:v>1</x:v>
      </x:c>
      <x:c r="J18" s="45" t="n">
        <x:f>G18</x:f>
        <x:v>404000000</x:v>
      </x:c>
      <x:c r="K18" s="14" t="str">
        <x:v>EUR-IDENTITY</x:v>
      </x:c>
      <x:c r="L18" s="14" t="str">
        <x:v>https://www.ecb.europa.eu/stats/policy_and_exchange_rates/euro_reference_exchange_rates/html/index.en.html</x:v>
      </x:c>
      <x:c r="M18" s="14" t="str">
        <x:v>already_eur</x:v>
      </x:c>
      <x:c r="N18" s="14" t="str">
        <x:v>original_currency_already_eur</x:v>
      </x:c>
    </x:row>
    <x:row r="19" ht="25.5" customHeight="1">
      <x:c r="A19" s="14" t="str">
        <x:v>market_observation</x:v>
      </x:c>
      <x:c r="B19" s="14" t="str">
        <x:v>DE-2019-WZ4726-TAXABLE-TURNOVER-EUR</x:v>
      </x:c>
      <x:c r="C19" s="14" t="str">
        <x:v>wz4726_tobacco_specialist_taxable_supplies_and_services_turnover</x:v>
      </x:c>
      <x:c r="D19" s="14" t="str">
        <x:v>Germany</x:v>
      </x:c>
      <x:c r="E19" s="14" t="n">
        <x:v>2019</x:v>
      </x:c>
      <x:c r="F19" s="14" t="str">
        <x:v>calendar_year</x:v>
      </x:c>
      <x:c r="G19" s="45" t="n">
        <x:v>2247267035</x:v>
      </x:c>
      <x:c r="H19" s="45" t="str">
        <x:v>EUR</x:v>
      </x:c>
      <x:c r="I19" s="45" t="n">
        <x:v>1</x:v>
      </x:c>
      <x:c r="J19" s="45" t="n">
        <x:f>G19</x:f>
        <x:v>2247267035</x:v>
      </x:c>
      <x:c r="K19" s="14" t="str">
        <x:v>EUR-IDENTITY</x:v>
      </x:c>
      <x:c r="L19" s="14" t="str">
        <x:v>https://www.ecb.europa.eu/stats/policy_and_exchange_rates/euro_reference_exchange_rates/html/index.en.html</x:v>
      </x:c>
      <x:c r="M19" s="14" t="str">
        <x:v>already_eur</x:v>
      </x:c>
      <x:c r="N19" s="14" t="str">
        <x:v>original_currency_already_eur</x:v>
      </x:c>
    </x:row>
    <x:row r="20" ht="25.5" customHeight="1">
      <x:c r="A20" s="14" t="str">
        <x:v>market_observation</x:v>
      </x:c>
      <x:c r="B20" s="14" t="str">
        <x:v>DE-2020-WZ4726-TAXABLE-TURNOVER-EUR</x:v>
      </x:c>
      <x:c r="C20" s="14" t="str">
        <x:v>wz4726_tobacco_specialist_taxable_supplies_and_services_turnover</x:v>
      </x:c>
      <x:c r="D20" s="14" t="str">
        <x:v>Germany</x:v>
      </x:c>
      <x:c r="E20" s="14" t="n">
        <x:v>2020</x:v>
      </x:c>
      <x:c r="F20" s="14" t="str">
        <x:v>calendar_year</x:v>
      </x:c>
      <x:c r="G20" s="45" t="n">
        <x:v>2444948000</x:v>
      </x:c>
      <x:c r="H20" s="45" t="str">
        <x:v>EUR</x:v>
      </x:c>
      <x:c r="I20" s="45" t="n">
        <x:v>1</x:v>
      </x:c>
      <x:c r="J20" s="45" t="n">
        <x:f>G20</x:f>
        <x:v>2444948000</x:v>
      </x:c>
      <x:c r="K20" s="14" t="str">
        <x:v>EUR-IDENTITY</x:v>
      </x:c>
      <x:c r="L20" s="14" t="str">
        <x:v>https://www.ecb.europa.eu/stats/policy_and_exchange_rates/euro_reference_exchange_rates/html/index.en.html</x:v>
      </x:c>
      <x:c r="M20" s="14" t="str">
        <x:v>already_eur</x:v>
      </x:c>
      <x:c r="N20" s="14" t="str">
        <x:v>original_currency_already_eur</x:v>
      </x:c>
    </x:row>
    <x:row r="21" ht="25.5" customHeight="1">
      <x:c r="A21" s="14" t="str">
        <x:v>market_observation</x:v>
      </x:c>
      <x:c r="B21" s="14" t="str">
        <x:v>DE-2021-WZ4726-TAXABLE-TURNOVER-EUR</x:v>
      </x:c>
      <x:c r="C21" s="14" t="str">
        <x:v>wz4726_tobacco_specialist_taxable_supplies_and_services_turnover</x:v>
      </x:c>
      <x:c r="D21" s="14" t="str">
        <x:v>Germany</x:v>
      </x:c>
      <x:c r="E21" s="14" t="n">
        <x:v>2021</x:v>
      </x:c>
      <x:c r="F21" s="14" t="str">
        <x:v>calendar_year</x:v>
      </x:c>
      <x:c r="G21" s="45" t="n">
        <x:v>2325648577</x:v>
      </x:c>
      <x:c r="H21" s="45" t="str">
        <x:v>EUR</x:v>
      </x:c>
      <x:c r="I21" s="45" t="n">
        <x:v>1</x:v>
      </x:c>
      <x:c r="J21" s="45" t="n">
        <x:f>G21</x:f>
        <x:v>2325648577</x:v>
      </x:c>
      <x:c r="K21" s="14" t="str">
        <x:v>EUR-IDENTITY</x:v>
      </x:c>
      <x:c r="L21" s="14" t="str">
        <x:v>https://www.ecb.europa.eu/stats/policy_and_exchange_rates/euro_reference_exchange_rates/html/index.en.html</x:v>
      </x:c>
      <x:c r="M21" s="14" t="str">
        <x:v>already_eur</x:v>
      </x:c>
      <x:c r="N21" s="14" t="str">
        <x:v>original_currency_already_eur</x:v>
      </x:c>
    </x:row>
    <x:row r="22" ht="25.5" customHeight="1">
      <x:c r="A22" s="14" t="str">
        <x:v>market_observation</x:v>
      </x:c>
      <x:c r="B22" s="14" t="str">
        <x:v>DE-2022-WZ4726-TAXABLE-TURNOVER-EUR</x:v>
      </x:c>
      <x:c r="C22" s="14" t="str">
        <x:v>wz4726_tobacco_specialist_taxable_supplies_and_services_turnover</x:v>
      </x:c>
      <x:c r="D22" s="14" t="str">
        <x:v>Germany</x:v>
      </x:c>
      <x:c r="E22" s="14" t="n">
        <x:v>2022</x:v>
      </x:c>
      <x:c r="F22" s="14" t="str">
        <x:v>calendar_year</x:v>
      </x:c>
      <x:c r="G22" s="45" t="n">
        <x:v>2510888578</x:v>
      </x:c>
      <x:c r="H22" s="45" t="str">
        <x:v>EUR</x:v>
      </x:c>
      <x:c r="I22" s="45" t="n">
        <x:v>1</x:v>
      </x:c>
      <x:c r="J22" s="45" t="n">
        <x:f>G22</x:f>
        <x:v>2510888578</x:v>
      </x:c>
      <x:c r="K22" s="14" t="str">
        <x:v>EUR-IDENTITY</x:v>
      </x:c>
      <x:c r="L22" s="14" t="str">
        <x:v>https://www.ecb.europa.eu/stats/policy_and_exchange_rates/euro_reference_exchange_rates/html/index.en.html</x:v>
      </x:c>
      <x:c r="M22" s="14" t="str">
        <x:v>already_eur</x:v>
      </x:c>
      <x:c r="N22" s="14" t="str">
        <x:v>original_currency_already_eur</x:v>
      </x:c>
    </x:row>
    <x:row r="23" ht="25.5" customHeight="1">
      <x:c r="A23" s="14" t="str">
        <x:v>market_observation</x:v>
      </x:c>
      <x:c r="B23" s="14" t="str">
        <x:v>DE-2023-WZ4726-TAXABLE-TURNOVER-EUR</x:v>
      </x:c>
      <x:c r="C23" s="14" t="str">
        <x:v>wz4726_tobacco_specialist_taxable_supplies_and_services_turnover</x:v>
      </x:c>
      <x:c r="D23" s="14" t="str">
        <x:v>Germany</x:v>
      </x:c>
      <x:c r="E23" s="14" t="n">
        <x:v>2023</x:v>
      </x:c>
      <x:c r="F23" s="14" t="str">
        <x:v>calendar_year</x:v>
      </x:c>
      <x:c r="G23" s="45" t="n">
        <x:v>2581608198</x:v>
      </x:c>
      <x:c r="H23" s="45" t="str">
        <x:v>EUR</x:v>
      </x:c>
      <x:c r="I23" s="45" t="n">
        <x:v>1</x:v>
      </x:c>
      <x:c r="J23" s="45" t="n">
        <x:f>G23</x:f>
        <x:v>2581608198</x:v>
      </x:c>
      <x:c r="K23" s="14" t="str">
        <x:v>EUR-IDENTITY</x:v>
      </x:c>
      <x:c r="L23" s="14" t="str">
        <x:v>https://www.ecb.europa.eu/stats/policy_and_exchange_rates/euro_reference_exchange_rates/html/index.en.html</x:v>
      </x:c>
      <x:c r="M23" s="14" t="str">
        <x:v>already_eur</x:v>
      </x:c>
      <x:c r="N23" s="14" t="str">
        <x:v>original_currency_already_eur</x:v>
      </x:c>
    </x:row>
    <x:row r="24" ht="25.5" customHeight="1">
      <x:c r="A24" s="14" t="str">
        <x:v>market_observation</x:v>
      </x:c>
      <x:c r="B24" s="14" t="str">
        <x:v>DE-2024-WZ4726-TAXABLE-TURNOVER-EUR</x:v>
      </x:c>
      <x:c r="C24" s="14" t="str">
        <x:v>wz4726_tobacco_specialist_taxable_supplies_and_services_turnover</x:v>
      </x:c>
      <x:c r="D24" s="14" t="str">
        <x:v>Germany</x:v>
      </x:c>
      <x:c r="E24" s="14" t="n">
        <x:v>2024</x:v>
      </x:c>
      <x:c r="F24" s="14" t="str">
        <x:v>calendar_year</x:v>
      </x:c>
      <x:c r="G24" s="45" t="n">
        <x:v>2687776000</x:v>
      </x:c>
      <x:c r="H24" s="45" t="str">
        <x:v>EUR</x:v>
      </x:c>
      <x:c r="I24" s="45" t="n">
        <x:v>1</x:v>
      </x:c>
      <x:c r="J24" s="45" t="n">
        <x:f>G24</x:f>
        <x:v>2687776000</x:v>
      </x:c>
      <x:c r="K24" s="14" t="str">
        <x:v>EUR-IDENTITY</x:v>
      </x:c>
      <x:c r="L24" s="14" t="str">
        <x:v>https://www.ecb.europa.eu/stats/policy_and_exchange_rates/euro_reference_exchange_rates/html/index.en.html</x:v>
      </x:c>
      <x:c r="M24" s="14" t="str">
        <x:v>already_eur</x:v>
      </x:c>
      <x:c r="N24" s="14" t="str">
        <x:v>original_currency_already_eur</x:v>
      </x:c>
    </x:row>
    <x:row r="25" ht="25.5" customHeight="1">
      <x:c r="A25" s="14" t="str">
        <x:v>market_observation</x:v>
      </x:c>
      <x:c r="B25" s="14" t="str">
        <x:v>FI-2025-NICOTINE-E-LIQUID-EXCISE-RECEIPTS</x:v>
      </x:c>
      <x:c r="C25" s="14" t="str">
        <x:v>nicotine_e_liquid_excise_receipts</x:v>
      </x:c>
      <x:c r="D25" s="14" t="str">
        <x:v>Finland</x:v>
      </x:c>
      <x:c r="E25" s="14" t="n">
        <x:v>2025</x:v>
      </x:c>
      <x:c r="F25" s="14" t="str">
        <x:v>calendar_year</x:v>
      </x:c>
      <x:c r="G25" s="45" t="n">
        <x:v>3540319</x:v>
      </x:c>
      <x:c r="H25" s="45" t="str">
        <x:v>EUR</x:v>
      </x:c>
      <x:c r="I25" s="45" t="n">
        <x:v>1</x:v>
      </x:c>
      <x:c r="J25" s="45" t="n">
        <x:f>G25</x:f>
        <x:v>3540319</x:v>
      </x:c>
      <x:c r="K25" s="14" t="str">
        <x:v>EUR-IDENTITY</x:v>
      </x:c>
      <x:c r="L25" s="14" t="str">
        <x:v>https://www.ecb.europa.eu/stats/policy_and_exchange_rates/euro_reference_exchange_rates/html/index.en.html</x:v>
      </x:c>
      <x:c r="M25" s="14" t="str">
        <x:v>already_eur</x:v>
      </x:c>
      <x:c r="N25" s="14" t="str">
        <x:v>original_currency_already_eur</x:v>
      </x:c>
    </x:row>
    <x:row r="26" ht="25.5" customHeight="1">
      <x:c r="A26" s="14" t="str">
        <x:v>market_observation</x:v>
      </x:c>
      <x:c r="B26" s="14" t="str">
        <x:v>PL-2021-E-LIQUID-EXCISE-RECEIPTS</x:v>
      </x:c>
      <x:c r="C26" s="14" t="str">
        <x:v>e_liquid_excise_receipts</x:v>
      </x:c>
      <x:c r="D26" s="14" t="str">
        <x:v>Poland</x:v>
      </x:c>
      <x:c r="E26" s="14" t="n">
        <x:v>2021</x:v>
      </x:c>
      <x:c r="F26" s="14" t="str">
        <x:v>calendar_year</x:v>
      </x:c>
      <x:c r="G26" s="45" t="n">
        <x:v>179500000</x:v>
      </x:c>
      <x:c r="H26" s="45" t="str">
        <x:v>PLN</x:v>
      </x:c>
      <x:c r="I26" s="45" t="n">
        <x:v>4.5651786821705</x:v>
      </x:c>
      <x:c r="J26" s="45" t="n">
        <x:f>G26/I26</x:f>
        <x:v>39319381.01372568</x:v>
      </x:c>
      <x:c r="K26" s="14" t="str">
        <x:v>ECB-EXR-A-PLN-EUR-SP00-A-2021</x:v>
      </x:c>
      <x:c r="L26" s="14" t="str">
        <x:v>https://data-api.ecb.europa.eu/service/data/EXR/A.PLN.EUR.SP00.A?startPeriod=2021&amp;endPeriod=2021&amp;format=csvdata</x:v>
      </x:c>
      <x:c r="M26" s="14" t="str">
        <x:v>computed</x:v>
      </x:c>
      <x:c r="N26" s="14" t="str">
        <x:v>original_amount_divided_by_ecb_annual_average</x:v>
      </x:c>
    </x:row>
    <x:row r="27" ht="25.5" customHeight="1">
      <x:c r="A27" s="14" t="str">
        <x:v>market_observation</x:v>
      </x:c>
      <x:c r="B27" s="14" t="str">
        <x:v>PL-2022-E-LIQUID-EXCISE-RECEIPTS</x:v>
      </x:c>
      <x:c r="C27" s="14" t="str">
        <x:v>e_liquid_excise_receipts</x:v>
      </x:c>
      <x:c r="D27" s="14" t="str">
        <x:v>Poland</x:v>
      </x:c>
      <x:c r="E27" s="14" t="n">
        <x:v>2022</x:v>
      </x:c>
      <x:c r="F27" s="14" t="str">
        <x:v>calendar_year</x:v>
      </x:c>
      <x:c r="G27" s="45" t="n">
        <x:v>229900000</x:v>
      </x:c>
      <x:c r="H27" s="45" t="str">
        <x:v>PLN</x:v>
      </x:c>
      <x:c r="I27" s="45" t="n">
        <x:v>4.686106614786</x:v>
      </x:c>
      <x:c r="J27" s="45" t="n">
        <x:f>G27/I27</x:f>
        <x:v>49059916.66399566</x:v>
      </x:c>
      <x:c r="K27" s="14" t="str">
        <x:v>ECB-EXR-A-PLN-EUR-SP00-A-2022</x:v>
      </x:c>
      <x:c r="L27" s="14" t="str">
        <x:v>https://data-api.ecb.europa.eu/service/data/EXR/A.PLN.EUR.SP00.A?startPeriod=2022&amp;endPeriod=2022&amp;format=csvdata</x:v>
      </x:c>
      <x:c r="M27" s="14" t="str">
        <x:v>computed</x:v>
      </x:c>
      <x:c r="N27" s="14" t="str">
        <x:v>original_amount_divided_by_ecb_annual_average</x:v>
      </x:c>
    </x:row>
    <x:row r="28" ht="25.5" customHeight="1">
      <x:c r="A28" s="14" t="str">
        <x:v>market_observation</x:v>
      </x:c>
      <x:c r="B28" s="14" t="str">
        <x:v>PL-2023-E-LIQUID-EXCISE-RECEIPTS</x:v>
      </x:c>
      <x:c r="C28" s="14" t="str">
        <x:v>e_liquid_excise_receipts</x:v>
      </x:c>
      <x:c r="D28" s="14" t="str">
        <x:v>Poland</x:v>
      </x:c>
      <x:c r="E28" s="14" t="n">
        <x:v>2023</x:v>
      </x:c>
      <x:c r="F28" s="14" t="str">
        <x:v>calendar_year</x:v>
      </x:c>
      <x:c r="G28" s="45" t="n">
        <x:v>443600000</x:v>
      </x:c>
      <x:c r="H28" s="45" t="str">
        <x:v>PLN</x:v>
      </x:c>
      <x:c r="I28" s="45" t="n">
        <x:v>4.5419658823529</x:v>
      </x:c>
      <x:c r="J28" s="45" t="n">
        <x:f>G28/I28</x:f>
        <x:v>97666959.96628653</x:v>
      </x:c>
      <x:c r="K28" s="14" t="str">
        <x:v>ECB-EXR-A-PLN-EUR-SP00-A-2023</x:v>
      </x:c>
      <x:c r="L28" s="14" t="str">
        <x:v>https://data-api.ecb.europa.eu/service/data/EXR/A.PLN.EUR.SP00.A?startPeriod=2023&amp;endPeriod=2023&amp;format=csvdata</x:v>
      </x:c>
      <x:c r="M28" s="14" t="str">
        <x:v>computed</x:v>
      </x:c>
      <x:c r="N28" s="14" t="str">
        <x:v>original_amount_divided_by_ecb_annual_average</x:v>
      </x:c>
    </x:row>
    <x:row r="29" ht="25.5" customHeight="1">
      <x:c r="A29" s="14" t="str">
        <x:v>market_observation</x:v>
      </x:c>
      <x:c r="B29" s="14" t="str">
        <x:v>PL-2024-E-LIQUID-EXCISE-RECEIPTS</x:v>
      </x:c>
      <x:c r="C29" s="14" t="str">
        <x:v>e_liquid_excise_receipts</x:v>
      </x:c>
      <x:c r="D29" s="14" t="str">
        <x:v>Poland</x:v>
      </x:c>
      <x:c r="E29" s="14" t="n">
        <x:v>2024</x:v>
      </x:c>
      <x:c r="F29" s="14" t="str">
        <x:v>calendar_year</x:v>
      </x:c>
      <x:c r="G29" s="45" t="n">
        <x:v>561400000</x:v>
      </x:c>
      <x:c r="H29" s="45" t="str">
        <x:v>PLN</x:v>
      </x:c>
      <x:c r="I29" s="45" t="n">
        <x:v>4.305795703125</x:v>
      </x:c>
      <x:c r="J29" s="45" t="n">
        <x:f>G29/I29</x:f>
        <x:v>130382405.18298511</x:v>
      </x:c>
      <x:c r="K29" s="14" t="str">
        <x:v>ECB-EXR-A-PLN-EUR-SP00-A-2024</x:v>
      </x:c>
      <x:c r="L29" s="14" t="str">
        <x:v>https://data-api.ecb.europa.eu/service/data/EXR/A.PLN.EUR.SP00.A?startPeriod=2024&amp;endPeriod=2024&amp;format=csvdata</x:v>
      </x:c>
      <x:c r="M29" s="14" t="str">
        <x:v>computed</x:v>
      </x:c>
      <x:c r="N29" s="14" t="str">
        <x:v>original_amount_divided_by_ecb_annual_average</x:v>
      </x:c>
    </x:row>
    <x:row r="30" ht="25.5" customHeight="1">
      <x:c r="A30" s="14" t="str">
        <x:v>market_observation</x:v>
      </x:c>
      <x:c r="B30" s="14" t="str">
        <x:v>PL-2015-UOKIK-E-CIGARETTE-MARKET-VALUE-ESTIMATE</x:v>
      </x:c>
      <x:c r="C30" s="14" t="str">
        <x:v>institutional_market_value_benchmark</x:v>
      </x:c>
      <x:c r="D30" s="14" t="str">
        <x:v>Poland</x:v>
      </x:c>
      <x:c r="E30" s="14" t="n">
        <x:v>2015</x:v>
      </x:c>
      <x:c r="F30" s="14" t="str">
        <x:v>study_reference_period_may_2015</x:v>
      </x:c>
      <x:c r="G30" s="45" t="n">
        <x:v>500000000</x:v>
      </x:c>
      <x:c r="H30" s="45" t="str">
        <x:v>PLN</x:v>
      </x:c>
      <x:c r="I30" s="45"/>
      <x:c r="J30" s="45"/>
      <x:c r="K30" s="14"/>
      <x:c r="L30" s="14" t="str">
        <x:v>https://data.ecb.europa.eu/data/datasets/exr/data-information</x:v>
      </x:c>
      <x:c r="M30" s="14" t="str">
        <x:v>not_computed</x:v>
      </x:c>
      <x:c r="N30" s="14" t="str">
        <x:v>period_not_compatible_with_annual_average</x:v>
      </x:c>
    </x:row>
    <x:row r="31" ht="25.5" customHeight="1">
      <x:c r="A31" s="14" t="str">
        <x:v>market_observation</x:v>
      </x:c>
      <x:c r="B31" s="14" t="str">
        <x:v>PL-2025-E-LIQUID-EXCISE-AMOUNT</x:v>
      </x:c>
      <x:c r="C31" s="14" t="str">
        <x:v>e_liquid_excise_receipts</x:v>
      </x:c>
      <x:c r="D31" s="14" t="str">
        <x:v>Poland</x:v>
      </x:c>
      <x:c r="E31" s="14" t="n">
        <x:v>2025</x:v>
      </x:c>
      <x:c r="F31" s="14" t="str">
        <x:v>calendar_year</x:v>
      </x:c>
      <x:c r="G31" s="45" t="n">
        <x:v>993100000</x:v>
      </x:c>
      <x:c r="H31" s="45" t="str">
        <x:v>PLN</x:v>
      </x:c>
      <x:c r="I31" s="45" t="n">
        <x:v>4.2396576470588</x:v>
      </x:c>
      <x:c r="J31" s="45" t="n">
        <x:f>G31/I31</x:f>
        <x:v>234240611.54771507</x:v>
      </x:c>
      <x:c r="K31" s="14" t="str">
        <x:v>ECB-EXR-A-PLN-EUR-SP00-A-2025</x:v>
      </x:c>
      <x:c r="L31" s="14" t="str">
        <x:v>https://data-api.ecb.europa.eu/service/data/EXR/A.PLN.EUR.SP00.A?startPeriod=2025&amp;endPeriod=2025&amp;format=csvdata</x:v>
      </x:c>
      <x:c r="M31" s="14" t="str">
        <x:v>computed</x:v>
      </x:c>
      <x:c r="N31" s="14" t="str">
        <x:v>original_amount_divided_by_ecb_annual_average</x:v>
      </x:c>
    </x:row>
    <x:row r="32" ht="25.5" customHeight="1">
      <x:c r="A32" s="14" t="str">
        <x:v>market_observation</x:v>
      </x:c>
      <x:c r="B32" s="14" t="str">
        <x:v>PL-2025-VAPING-DEVICE-EXCISE-AMOUNT</x:v>
      </x:c>
      <x:c r="C32" s="14" t="str">
        <x:v>vaporisation_device_broad_group_excise_amount</x:v>
      </x:c>
      <x:c r="D32" s="14" t="str">
        <x:v>Poland</x:v>
      </x:c>
      <x:c r="E32" s="14" t="n">
        <x:v>2025</x:v>
      </x:c>
      <x:c r="F32" s="14" t="str">
        <x:v>calendar_year</x:v>
      </x:c>
      <x:c r="G32" s="45" t="n">
        <x:v>175300000</x:v>
      </x:c>
      <x:c r="H32" s="45" t="str">
        <x:v>PLN</x:v>
      </x:c>
      <x:c r="I32" s="45" t="n">
        <x:v>4.2396576470588</x:v>
      </x:c>
      <x:c r="J32" s="45" t="n">
        <x:f>G32/I32</x:f>
        <x:v>41347678.183782555</x:v>
      </x:c>
      <x:c r="K32" s="14" t="str">
        <x:v>ECB-EXR-A-PLN-EUR-SP00-A-2025</x:v>
      </x:c>
      <x:c r="L32" s="14" t="str">
        <x:v>https://data-api.ecb.europa.eu/service/data/EXR/A.PLN.EUR.SP00.A?startPeriod=2025&amp;endPeriod=2025&amp;format=csvdata</x:v>
      </x:c>
      <x:c r="M32" s="14" t="str">
        <x:v>computed</x:v>
      </x:c>
      <x:c r="N32" s="14" t="str">
        <x:v>original_amount_divided_by_ecb_annual_average</x:v>
      </x:c>
    </x:row>
    <x:row r="33" ht="25.5" customHeight="1">
      <x:c r="A33" s="14" t="str">
        <x:v>market_observation</x:v>
      </x:c>
      <x:c r="B33" s="14" t="str">
        <x:v>PL-2025-VAPING-COMPONENT-SETS-EXCISE-AMOUNT</x:v>
      </x:c>
      <x:c r="C33" s="14" t="str">
        <x:v>vaporisation_device_component_sets_broad_group_excise_amount</x:v>
      </x:c>
      <x:c r="D33" s="14" t="str">
        <x:v>Poland</x:v>
      </x:c>
      <x:c r="E33" s="14" t="n">
        <x:v>2025</x:v>
      </x:c>
      <x:c r="F33" s="14" t="str">
        <x:v>calendar_year</x:v>
      </x:c>
      <x:c r="G33" s="45" t="n">
        <x:v>2500000</x:v>
      </x:c>
      <x:c r="H33" s="45" t="str">
        <x:v>PLN</x:v>
      </x:c>
      <x:c r="I33" s="45" t="n">
        <x:v>4.2396576470588</x:v>
      </x:c>
      <x:c r="J33" s="45" t="n">
        <x:f>G33/I33</x:f>
        <x:v>589670.2536192606</x:v>
      </x:c>
      <x:c r="K33" s="14" t="str">
        <x:v>ECB-EXR-A-PLN-EUR-SP00-A-2025</x:v>
      </x:c>
      <x:c r="L33" s="14" t="str">
        <x:v>https://data-api.ecb.europa.eu/service/data/EXR/A.PLN.EUR.SP00.A?startPeriod=2025&amp;endPeriod=2025&amp;format=csvdata</x:v>
      </x:c>
      <x:c r="M33" s="14" t="str">
        <x:v>computed</x:v>
      </x:c>
      <x:c r="N33" s="14" t="str">
        <x:v>original_amount_divided_by_ecb_annual_average</x:v>
      </x:c>
    </x:row>
    <x:row r="34" ht="25.5" customHeight="1">
      <x:c r="A34" s="14" t="str">
        <x:v>market_observation</x:v>
      </x:c>
      <x:c r="B34" s="14" t="str">
        <x:v>SE-2024-NICOTINE-E-LIQUID-EXCISE-RECEIPTS</x:v>
      </x:c>
      <x:c r="C34" s="14" t="str">
        <x:v>nicotine_e_liquid_excise_receipts</x:v>
      </x:c>
      <x:c r="D34" s="14" t="str">
        <x:v>Sweden</x:v>
      </x:c>
      <x:c r="E34" s="14" t="n">
        <x:v>2024</x:v>
      </x:c>
      <x:c r="F34" s="14" t="str">
        <x:v>calendar_year</x:v>
      </x:c>
      <x:c r="G34" s="45" t="n">
        <x:v>80000000</x:v>
      </x:c>
      <x:c r="H34" s="45" t="str">
        <x:v>SEK</x:v>
      </x:c>
      <x:c r="I34" s="45" t="n">
        <x:v>11.432519140625</x:v>
      </x:c>
      <x:c r="J34" s="45" t="n">
        <x:f>G34/I34</x:f>
        <x:v>6997582.861306848</x:v>
      </x:c>
      <x:c r="K34" s="14" t="str">
        <x:v>ECB-EXR-A-SEK-EUR-SP00-A-2024</x:v>
      </x:c>
      <x:c r="L34" s="14" t="str">
        <x:v>https://data-api.ecb.europa.eu/service/data/EXR/A.SEK.EUR.SP00.A?startPeriod=2024&amp;endPeriod=2024&amp;format=csvdata</x:v>
      </x:c>
      <x:c r="M34" s="14" t="str">
        <x:v>computed</x:v>
      </x:c>
      <x:c r="N34" s="14" t="str">
        <x:v>original_amount_divided_by_ecb_annual_average</x:v>
      </x:c>
    </x:row>
    <x:row r="35" ht="25.5" customHeight="1">
      <x:c r="A35" s="14" t="str">
        <x:v>market_observation</x:v>
      </x:c>
      <x:c r="B35" s="14" t="str">
        <x:v>GLOBAL-2025-IMARC-COMMERCIAL-ESTIMATE</x:v>
      </x:c>
      <x:c r="C35" s="14" t="str">
        <x:v>commercial_market_estimate</x:v>
      </x:c>
      <x:c r="D35" s="14" t="str">
        <x:v>Global</x:v>
      </x:c>
      <x:c r="E35" s="14" t="n">
        <x:v>2025</x:v>
      </x:c>
      <x:c r="F35" s="14" t="str">
        <x:v>calendar_year_estimate</x:v>
      </x:c>
      <x:c r="G35" s="45" t="n">
        <x:v>26000000000</x:v>
      </x:c>
      <x:c r="H35" s="45" t="str">
        <x:v>USD</x:v>
      </x:c>
      <x:c r="I35" s="45" t="n">
        <x:v>1.1299831372549</x:v>
      </x:c>
      <x:c r="J35" s="45" t="n">
        <x:f>G35/I35</x:f>
        <x:v>23009192918.721367</x:v>
      </x:c>
      <x:c r="K35" s="14" t="str">
        <x:v>ECB-EXR-A-USD-EUR-SP00-A-2025</x:v>
      </x:c>
      <x:c r="L35" s="14" t="str">
        <x:v>https://data-api.ecb.europa.eu/service/data/EXR/A.USD.EUR.SP00.A?startPeriod=2025&amp;endPeriod=2025&amp;format=csvdata</x:v>
      </x:c>
      <x:c r="M35" s="14" t="str">
        <x:v>computed</x:v>
      </x:c>
      <x:c r="N35" s="14" t="str">
        <x:v>original_amount_divided_by_ecb_annual_average</x:v>
      </x:c>
    </x:row>
    <x:row r="36" ht="25.5" customHeight="1">
      <x:c r="A36" s="14" t="str">
        <x:v>market_observation</x:v>
      </x:c>
      <x:c r="B36" s="14" t="str">
        <x:v>GLOBAL-2025-GVR-COMMERCIAL-ESTIMATE</x:v>
      </x:c>
      <x:c r="C36" s="14" t="str">
        <x:v>commercial_market_estimate</x:v>
      </x:c>
      <x:c r="D36" s="14" t="str">
        <x:v>Global</x:v>
      </x:c>
      <x:c r="E36" s="14" t="n">
        <x:v>2025</x:v>
      </x:c>
      <x:c r="F36" s="14" t="str">
        <x:v>calendar_year_estimate</x:v>
      </x:c>
      <x:c r="G36" s="45" t="n">
        <x:v>45700000000</x:v>
      </x:c>
      <x:c r="H36" s="45" t="str">
        <x:v>USD</x:v>
      </x:c>
      <x:c r="I36" s="45" t="n">
        <x:v>1.1299831372549</x:v>
      </x:c>
      <x:c r="J36" s="45" t="n">
        <x:f>G36/I36</x:f>
        <x:v>40443081399.44486</x:v>
      </x:c>
      <x:c r="K36" s="14" t="str">
        <x:v>ECB-EXR-A-USD-EUR-SP00-A-2025</x:v>
      </x:c>
      <x:c r="L36" s="14" t="str">
        <x:v>https://data-api.ecb.europa.eu/service/data/EXR/A.USD.EUR.SP00.A?startPeriod=2025&amp;endPeriod=2025&amp;format=csvdata</x:v>
      </x:c>
      <x:c r="M36" s="14" t="str">
        <x:v>computed</x:v>
      </x:c>
      <x:c r="N36" s="14" t="str">
        <x:v>original_amount_divided_by_ecb_annual_average</x:v>
      </x:c>
    </x:row>
    <x:row r="37" ht="25.5" customHeight="1">
      <x:c r="A37" s="14" t="str">
        <x:v>market_observation</x:v>
      </x:c>
      <x:c r="B37" s="14" t="str">
        <x:v>GLOBAL-2025-FORTUNE-COMMERCIAL-ESTIMATE</x:v>
      </x:c>
      <x:c r="C37" s="14" t="str">
        <x:v>commercial_market_estimate</x:v>
      </x:c>
      <x:c r="D37" s="14" t="str">
        <x:v>Global</x:v>
      </x:c>
      <x:c r="E37" s="14" t="n">
        <x:v>2025</x:v>
      </x:c>
      <x:c r="F37" s="14" t="str">
        <x:v>calendar_year_estimate</x:v>
      </x:c>
      <x:c r="G37" s="45" t="n">
        <x:v>46320000000</x:v>
      </x:c>
      <x:c r="H37" s="45" t="str">
        <x:v>USD</x:v>
      </x:c>
      <x:c r="I37" s="45" t="n">
        <x:v>1.1299831372549</x:v>
      </x:c>
      <x:c r="J37" s="45" t="n">
        <x:f>G37/I37</x:f>
        <x:v>40991762153.66052</x:v>
      </x:c>
      <x:c r="K37" s="14" t="str">
        <x:v>ECB-EXR-A-USD-EUR-SP00-A-2025</x:v>
      </x:c>
      <x:c r="L37" s="14" t="str">
        <x:v>https://data-api.ecb.europa.eu/service/data/EXR/A.USD.EUR.SP00.A?startPeriod=2025&amp;endPeriod=2025&amp;format=csvdata</x:v>
      </x:c>
      <x:c r="M37" s="14" t="str">
        <x:v>computed</x:v>
      </x:c>
      <x:c r="N37" s="14" t="str">
        <x:v>original_amount_divided_by_ecb_annual_average</x:v>
      </x:c>
    </x:row>
    <x:row r="38" ht="25.5" customHeight="1">
      <x:c r="A38" s="14" t="str">
        <x:v>market_observation</x:v>
      </x:c>
      <x:c r="B38" s="14" t="str">
        <x:v>US-2015-FTC-CARTRIDGE-DISPOSABLE-REPORTED-SALES</x:v>
      </x:c>
      <x:c r="C38" s="14" t="str">
        <x:v>ftc_reported_cartridge_and_disposable_sales</x:v>
      </x:c>
      <x:c r="D38" s="14" t="str">
        <x:v>United States</x:v>
      </x:c>
      <x:c r="E38" s="14" t="n">
        <x:v>2015</x:v>
      </x:c>
      <x:c r="F38" s="14" t="str">
        <x:v>calendar_year</x:v>
      </x:c>
      <x:c r="G38" s="45" t="n">
        <x:v>304170046</x:v>
      </x:c>
      <x:c r="H38" s="45" t="str">
        <x:v>USD</x:v>
      </x:c>
      <x:c r="I38" s="45" t="n">
        <x:v>1.109512890625</x:v>
      </x:c>
      <x:c r="J38" s="45" t="n">
        <x:f>G38/I38</x:f>
        <x:v>274147374.5552049</x:v>
      </x:c>
      <x:c r="K38" s="14" t="str">
        <x:v>ECB-EXR-A-USD-EUR-SP00-A-2015</x:v>
      </x:c>
      <x:c r="L38" s="14" t="str">
        <x:v>https://data-api.ecb.europa.eu/service/data/EXR/A.USD.EUR.SP00.A?startPeriod=2015&amp;endPeriod=2015&amp;format=csvdata</x:v>
      </x:c>
      <x:c r="M38" s="14" t="str">
        <x:v>computed</x:v>
      </x:c>
      <x:c r="N38" s="14" t="str">
        <x:v>original_amount_divided_by_ecb_annual_average</x:v>
      </x:c>
    </x:row>
    <x:row r="39" ht="25.5" customHeight="1">
      <x:c r="A39" s="14" t="str">
        <x:v>market_observation</x:v>
      </x:c>
      <x:c r="B39" s="14" t="str">
        <x:v>US-2016-FTC-CARTRIDGE-DISPOSABLE-REPORTED-SALES</x:v>
      </x:c>
      <x:c r="C39" s="14" t="str">
        <x:v>ftc_reported_cartridge_and_disposable_sales</x:v>
      </x:c>
      <x:c r="D39" s="14" t="str">
        <x:v>United States</x:v>
      </x:c>
      <x:c r="E39" s="14" t="n">
        <x:v>2016</x:v>
      </x:c>
      <x:c r="F39" s="14" t="str">
        <x:v>calendar_year</x:v>
      </x:c>
      <x:c r="G39" s="45" t="n">
        <x:v>485707484</x:v>
      </x:c>
      <x:c r="H39" s="45" t="str">
        <x:v>USD</x:v>
      </x:c>
      <x:c r="I39" s="45" t="n">
        <x:v>1.1069031128405</x:v>
      </x:c>
      <x:c r="J39" s="45" t="n">
        <x:f>G39/I39</x:f>
        <x:v>438798552.7961817</x:v>
      </x:c>
      <x:c r="K39" s="14" t="str">
        <x:v>ECB-EXR-A-USD-EUR-SP00-A-2016</x:v>
      </x:c>
      <x:c r="L39" s="14" t="str">
        <x:v>https://data-api.ecb.europa.eu/service/data/EXR/A.USD.EUR.SP00.A?startPeriod=2016&amp;endPeriod=2016&amp;format=csvdata</x:v>
      </x:c>
      <x:c r="M39" s="14" t="str">
        <x:v>computed</x:v>
      </x:c>
      <x:c r="N39" s="14" t="str">
        <x:v>original_amount_divided_by_ecb_annual_average</x:v>
      </x:c>
    </x:row>
    <x:row r="40" ht="25.5" customHeight="1">
      <x:c r="A40" s="14" t="str">
        <x:v>market_observation</x:v>
      </x:c>
      <x:c r="B40" s="14" t="str">
        <x:v>US-2017-FTC-CARTRIDGE-DISPOSABLE-REPORTED-SALES</x:v>
      </x:c>
      <x:c r="C40" s="14" t="str">
        <x:v>ftc_reported_cartridge_and_disposable_sales</x:v>
      </x:c>
      <x:c r="D40" s="14" t="str">
        <x:v>United States</x:v>
      </x:c>
      <x:c r="E40" s="14" t="n">
        <x:v>2017</x:v>
      </x:c>
      <x:c r="F40" s="14" t="str">
        <x:v>calendar_year</x:v>
      </x:c>
      <x:c r="G40" s="45" t="n">
        <x:v>779836399</x:v>
      </x:c>
      <x:c r="H40" s="45" t="str">
        <x:v>USD</x:v>
      </x:c>
      <x:c r="I40" s="45" t="n">
        <x:v>1.1296811764706</x:v>
      </x:c>
      <x:c r="J40" s="45" t="n">
        <x:f>G40/I40</x:f>
        <x:v>690315475.943752</x:v>
      </x:c>
      <x:c r="K40" s="14" t="str">
        <x:v>ECB-EXR-A-USD-EUR-SP00-A-2017</x:v>
      </x:c>
      <x:c r="L40" s="14" t="str">
        <x:v>https://data-api.ecb.europa.eu/service/data/EXR/A.USD.EUR.SP00.A?startPeriod=2017&amp;endPeriod=2017&amp;format=csvdata</x:v>
      </x:c>
      <x:c r="M40" s="14" t="str">
        <x:v>computed</x:v>
      </x:c>
      <x:c r="N40" s="14" t="str">
        <x:v>original_amount_divided_by_ecb_annual_average</x:v>
      </x:c>
    </x:row>
    <x:row r="41" ht="25.5" customHeight="1">
      <x:c r="A41" s="14" t="str">
        <x:v>market_observation</x:v>
      </x:c>
      <x:c r="B41" s="14" t="str">
        <x:v>US-2018-FTC-CARTRIDGE-DISPOSABLE-REPORTED-SALES</x:v>
      </x:c>
      <x:c r="C41" s="14" t="str">
        <x:v>ftc_reported_cartridge_and_disposable_sales</x:v>
      </x:c>
      <x:c r="D41" s="14" t="str">
        <x:v>United States</x:v>
      </x:c>
      <x:c r="E41" s="14" t="n">
        <x:v>2018</x:v>
      </x:c>
      <x:c r="F41" s="14" t="str">
        <x:v>calendar_year</x:v>
      </x:c>
      <x:c r="G41" s="45" t="n">
        <x:v>2043703005</x:v>
      </x:c>
      <x:c r="H41" s="45" t="str">
        <x:v>USD</x:v>
      </x:c>
      <x:c r="I41" s="45" t="n">
        <x:v>1.1809545098039</x:v>
      </x:c>
      <x:c r="J41" s="45" t="n">
        <x:f>G41/I41</x:f>
        <x:v>1730551844.3207107</x:v>
      </x:c>
      <x:c r="K41" s="14" t="str">
        <x:v>ECB-EXR-A-USD-EUR-SP00-A-2018</x:v>
      </x:c>
      <x:c r="L41" s="14" t="str">
        <x:v>https://data-api.ecb.europa.eu/service/data/EXR/A.USD.EUR.SP00.A?startPeriod=2018&amp;endPeriod=2018&amp;format=csvdata</x:v>
      </x:c>
      <x:c r="M41" s="14" t="str">
        <x:v>computed</x:v>
      </x:c>
      <x:c r="N41" s="14" t="str">
        <x:v>original_amount_divided_by_ecb_annual_average</x:v>
      </x:c>
    </x:row>
    <x:row r="42" ht="25.5" customHeight="1">
      <x:c r="A42" s="14" t="str">
        <x:v>market_observation</x:v>
      </x:c>
      <x:c r="B42" s="14" t="str">
        <x:v>US-2019-FTC-CARTRIDGE-DISPOSABLE-REPORTED-SALES</x:v>
      </x:c>
      <x:c r="C42" s="14" t="str">
        <x:v>ftc_reported_cartridge_and_disposable_sales</x:v>
      </x:c>
      <x:c r="D42" s="14" t="str">
        <x:v>United States</x:v>
      </x:c>
      <x:c r="E42" s="14" t="n">
        <x:v>2019</x:v>
      </x:c>
      <x:c r="F42" s="14" t="str">
        <x:v>calendar_year</x:v>
      </x:c>
      <x:c r="G42" s="45" t="n">
        <x:v>2702608307</x:v>
      </x:c>
      <x:c r="H42" s="45" t="str">
        <x:v>USD</x:v>
      </x:c>
      <x:c r="I42" s="45" t="n">
        <x:v>1.1194745098039</x:v>
      </x:c>
      <x:c r="J42" s="45" t="n">
        <x:f>G42/I42</x:f>
        <x:v>2414175832.796246</x:v>
      </x:c>
      <x:c r="K42" s="14" t="str">
        <x:v>ECB-EXR-A-USD-EUR-SP00-A-2019</x:v>
      </x:c>
      <x:c r="L42" s="14" t="str">
        <x:v>https://data-api.ecb.europa.eu/service/data/EXR/A.USD.EUR.SP00.A?startPeriod=2019&amp;endPeriod=2019&amp;format=csvdata</x:v>
      </x:c>
      <x:c r="M42" s="14" t="str">
        <x:v>computed</x:v>
      </x:c>
      <x:c r="N42" s="14" t="str">
        <x:v>original_amount_divided_by_ecb_annual_average</x:v>
      </x:c>
    </x:row>
    <x:row r="43" ht="25.5" customHeight="1">
      <x:c r="A43" s="14" t="str">
        <x:v>market_observation</x:v>
      </x:c>
      <x:c r="B43" s="14" t="str">
        <x:v>US-2020-FTC-CARTRIDGE-DISPOSABLE-REPORTED-SALES</x:v>
      </x:c>
      <x:c r="C43" s="14" t="str">
        <x:v>ftc_reported_cartridge_and_disposable_sales</x:v>
      </x:c>
      <x:c r="D43" s="14" t="str">
        <x:v>United States</x:v>
      </x:c>
      <x:c r="E43" s="14" t="n">
        <x:v>2020</x:v>
      </x:c>
      <x:c r="F43" s="14" t="str">
        <x:v>calendar_year</x:v>
      </x:c>
      <x:c r="G43" s="45" t="n">
        <x:v>2394423105</x:v>
      </x:c>
      <x:c r="H43" s="45" t="str">
        <x:v>USD</x:v>
      </x:c>
      <x:c r="I43" s="45" t="n">
        <x:v>1.1421961089494</x:v>
      </x:c>
      <x:c r="J43" s="45" t="n">
        <x:f>G43/I43</x:f>
        <x:v>2096332745.523365</x:v>
      </x:c>
      <x:c r="K43" s="14" t="str">
        <x:v>ECB-EXR-A-USD-EUR-SP00-A-2020</x:v>
      </x:c>
      <x:c r="L43" s="14" t="str">
        <x:v>https://data-api.ecb.europa.eu/service/data/EXR/A.USD.EUR.SP00.A?startPeriod=2020&amp;endPeriod=2020&amp;format=csvdata</x:v>
      </x:c>
      <x:c r="M43" s="14" t="str">
        <x:v>computed</x:v>
      </x:c>
      <x:c r="N43" s="14" t="str">
        <x:v>original_amount_divided_by_ecb_annual_average</x:v>
      </x:c>
    </x:row>
    <x:row r="44" ht="25.5" customHeight="1">
      <x:c r="A44" s="14" t="str">
        <x:v>market_observation</x:v>
      </x:c>
      <x:c r="B44" s="14" t="str">
        <x:v>US-2021-FTC-CARTRIDGE-DISPOSABLE-REPORTED-SALES</x:v>
      </x:c>
      <x:c r="C44" s="14" t="str">
        <x:v>ftc_reported_cartridge_and_disposable_sales</x:v>
      </x:c>
      <x:c r="D44" s="14" t="str">
        <x:v>United States</x:v>
      </x:c>
      <x:c r="E44" s="14" t="n">
        <x:v>2021</x:v>
      </x:c>
      <x:c r="F44" s="14" t="str">
        <x:v>calendar_year</x:v>
      </x:c>
      <x:c r="G44" s="45" t="n">
        <x:v>2763284338</x:v>
      </x:c>
      <x:c r="H44" s="45" t="str">
        <x:v>USD</x:v>
      </x:c>
      <x:c r="I44" s="45" t="n">
        <x:v>1.1827403100775</x:v>
      </x:c>
      <x:c r="J44" s="45" t="n">
        <x:f>G44/I44</x:f>
        <x:v>2336340711.866778</x:v>
      </x:c>
      <x:c r="K44" s="14" t="str">
        <x:v>ECB-EXR-A-USD-EUR-SP00-A-2021</x:v>
      </x:c>
      <x:c r="L44" s="14" t="str">
        <x:v>https://data-api.ecb.europa.eu/service/data/EXR/A.USD.EUR.SP00.A?startPeriod=2021&amp;endPeriod=2021&amp;format=csvdata</x:v>
      </x:c>
      <x:c r="M44" s="14" t="str">
        <x:v>computed</x:v>
      </x:c>
      <x:c r="N44" s="14" t="str">
        <x:v>original_amount_divided_by_ecb_annual_average</x:v>
      </x:c>
    </x:row>
    <x:row r="45" ht="25.5" customHeight="1">
      <x:c r="A45" s="14" t="str">
        <x:v>market_observation</x:v>
      </x:c>
      <x:c r="B45" s="14" t="str">
        <x:v>NZ-2019-HES-E-CIGARETTES-AND-REFILLS-EXPENDITURE-NZD</x:v>
      </x:c>
      <x:c r="C45" s="14" t="str">
        <x:v>household_expenditure_estimate</x:v>
      </x:c>
      <x:c r="D45" s="14" t="str">
        <x:v>New Zealand</x:v>
      </x:c>
      <x:c r="E45" s="14" t="n">
        <x:v>2019</x:v>
      </x:c>
      <x:c r="F45" s="14" t="str">
        <x:v>year_ended_june</x:v>
      </x:c>
      <x:c r="G45" s="45" t="n">
        <x:v>42276000</x:v>
      </x:c>
      <x:c r="H45" s="45" t="str">
        <x:v>NZD</x:v>
      </x:c>
      <x:c r="I45" s="45"/>
      <x:c r="J45" s="45"/>
      <x:c r="K45" s="14"/>
      <x:c r="L45" s="14" t="str">
        <x:v>https://data.ecb.europa.eu/data/datasets/exr/data-information</x:v>
      </x:c>
      <x:c r="M45" s="14" t="str">
        <x:v>not_computed</x:v>
      </x:c>
      <x:c r="N45" s="14" t="str">
        <x:v>period_not_compatible_with_annual_average</x:v>
      </x:c>
    </x:row>
    <x:row r="46" ht="25.5" customHeight="1">
      <x:c r="A46" s="14" t="str">
        <x:v>market_observation</x:v>
      </x:c>
      <x:c r="B46" s="14" t="str">
        <x:v>NZ-2019-HES-E-CIGARETTE-DEVICES-EXPENDITURE-NZD</x:v>
      </x:c>
      <x:c r="C46" s="14" t="str">
        <x:v>household_expenditure_estimate</x:v>
      </x:c>
      <x:c r="D46" s="14" t="str">
        <x:v>New Zealand</x:v>
      </x:c>
      <x:c r="E46" s="14" t="n">
        <x:v>2019</x:v>
      </x:c>
      <x:c r="F46" s="14" t="str">
        <x:v>year_ended_june</x:v>
      </x:c>
      <x:c r="G46" s="45" t="n">
        <x:v>18034000</x:v>
      </x:c>
      <x:c r="H46" s="45" t="str">
        <x:v>NZD</x:v>
      </x:c>
      <x:c r="I46" s="45"/>
      <x:c r="J46" s="45"/>
      <x:c r="K46" s="14"/>
      <x:c r="L46" s="14" t="str">
        <x:v>https://data.ecb.europa.eu/data/datasets/exr/data-information</x:v>
      </x:c>
      <x:c r="M46" s="14" t="str">
        <x:v>not_computed</x:v>
      </x:c>
      <x:c r="N46" s="14" t="str">
        <x:v>period_not_compatible_with_annual_average</x:v>
      </x:c>
    </x:row>
    <x:row r="47" ht="25.5" customHeight="1">
      <x:c r="A47" s="14" t="str">
        <x:v>market_observation</x:v>
      </x:c>
      <x:c r="B47" s="14" t="str">
        <x:v>NZ-2019-HES-E-CIGARETTE-REFILLS-EXPENDITURE-NZD</x:v>
      </x:c>
      <x:c r="C47" s="14" t="str">
        <x:v>household_expenditure_estimate</x:v>
      </x:c>
      <x:c r="D47" s="14" t="str">
        <x:v>New Zealand</x:v>
      </x:c>
      <x:c r="E47" s="14" t="n">
        <x:v>2019</x:v>
      </x:c>
      <x:c r="F47" s="14" t="str">
        <x:v>year_ended_june</x:v>
      </x:c>
      <x:c r="G47" s="45" t="n">
        <x:v>24242000</x:v>
      </x:c>
      <x:c r="H47" s="45" t="str">
        <x:v>NZD</x:v>
      </x:c>
      <x:c r="I47" s="45"/>
      <x:c r="J47" s="45"/>
      <x:c r="K47" s="14"/>
      <x:c r="L47" s="14" t="str">
        <x:v>https://data.ecb.europa.eu/data/datasets/exr/data-information</x:v>
      </x:c>
      <x:c r="M47" s="14" t="str">
        <x:v>not_computed</x:v>
      </x:c>
      <x:c r="N47" s="14" t="str">
        <x:v>period_not_compatible_with_annual_average</x:v>
      </x:c>
    </x:row>
    <x:row r="48" ht="25.5" customHeight="1">
      <x:c r="A48" s="14" t="str">
        <x:v>market_observation</x:v>
      </x:c>
      <x:c r="B48" s="14" t="str">
        <x:v>NZ-2023-HES-E-CIGARETTES-AND-REFILLS-EXPENDITURE-NZD</x:v>
      </x:c>
      <x:c r="C48" s="14" t="str">
        <x:v>household_expenditure_estimate</x:v>
      </x:c>
      <x:c r="D48" s="14" t="str">
        <x:v>New Zealand</x:v>
      </x:c>
      <x:c r="E48" s="14" t="n">
        <x:v>2023</x:v>
      </x:c>
      <x:c r="F48" s="14" t="str">
        <x:v>year_ended_june</x:v>
      </x:c>
      <x:c r="G48" s="45" t="n">
        <x:v>186980000</x:v>
      </x:c>
      <x:c r="H48" s="45" t="str">
        <x:v>NZD</x:v>
      </x:c>
      <x:c r="I48" s="45"/>
      <x:c r="J48" s="45"/>
      <x:c r="K48" s="14"/>
      <x:c r="L48" s="14" t="str">
        <x:v>https://data.ecb.europa.eu/data/datasets/exr/data-information</x:v>
      </x:c>
      <x:c r="M48" s="14" t="str">
        <x:v>not_computed</x:v>
      </x:c>
      <x:c r="N48" s="14" t="str">
        <x:v>period_not_compatible_with_annual_average</x:v>
      </x:c>
    </x:row>
    <x:row r="49" ht="25.5" customHeight="1">
      <x:c r="A49" s="14" t="str">
        <x:v>market_observation</x:v>
      </x:c>
      <x:c r="B49" s="14" t="str">
        <x:v>NZ-2023-HES-E-CIGARETTE-DEVICES-EXPENDITURE-NZD</x:v>
      </x:c>
      <x:c r="C49" s="14" t="str">
        <x:v>household_expenditure_estimate</x:v>
      </x:c>
      <x:c r="D49" s="14" t="str">
        <x:v>New Zealand</x:v>
      </x:c>
      <x:c r="E49" s="14" t="n">
        <x:v>2023</x:v>
      </x:c>
      <x:c r="F49" s="14" t="str">
        <x:v>year_ended_june</x:v>
      </x:c>
      <x:c r="G49" s="45" t="n">
        <x:v>22488000</x:v>
      </x:c>
      <x:c r="H49" s="45" t="str">
        <x:v>NZD</x:v>
      </x:c>
      <x:c r="I49" s="45"/>
      <x:c r="J49" s="45"/>
      <x:c r="K49" s="14"/>
      <x:c r="L49" s="14" t="str">
        <x:v>https://data.ecb.europa.eu/data/datasets/exr/data-information</x:v>
      </x:c>
      <x:c r="M49" s="14" t="str">
        <x:v>not_computed</x:v>
      </x:c>
      <x:c r="N49" s="14" t="str">
        <x:v>period_not_compatible_with_annual_average</x:v>
      </x:c>
    </x:row>
    <x:row r="50" ht="25.5" customHeight="1">
      <x:c r="A50" s="14" t="str">
        <x:v>market_observation</x:v>
      </x:c>
      <x:c r="B50" s="14" t="str">
        <x:v>NZ-2023-HES-E-CIGARETTE-REFILLS-EXPENDITURE-NZD</x:v>
      </x:c>
      <x:c r="C50" s="14" t="str">
        <x:v>household_expenditure_estimate</x:v>
      </x:c>
      <x:c r="D50" s="14" t="str">
        <x:v>New Zealand</x:v>
      </x:c>
      <x:c r="E50" s="14" t="n">
        <x:v>2023</x:v>
      </x:c>
      <x:c r="F50" s="14" t="str">
        <x:v>year_ended_june</x:v>
      </x:c>
      <x:c r="G50" s="45" t="n">
        <x:v>164492000</x:v>
      </x:c>
      <x:c r="H50" s="45" t="str">
        <x:v>NZD</x:v>
      </x:c>
      <x:c r="I50" s="45"/>
      <x:c r="J50" s="45"/>
      <x:c r="K50" s="14"/>
      <x:c r="L50" s="14" t="str">
        <x:v>https://data.ecb.europa.eu/data/datasets/exr/data-information</x:v>
      </x:c>
      <x:c r="M50" s="14" t="str">
        <x:v>not_computed</x:v>
      </x:c>
      <x:c r="N50" s="14" t="str">
        <x:v>period_not_compatible_with_annual_average</x:v>
      </x:c>
    </x:row>
    <x:row r="51" ht="25.5" customHeight="1">
      <x:c r="A51" s="14" t="str">
        <x:v>market_observation</x:v>
      </x:c>
      <x:c r="B51" s="14" t="str">
        <x:v>CA-2021-HC-VAPING-MARKET-BENCHMARK</x:v>
      </x:c>
      <x:c r="C51" s="14" t="str">
        <x:v>institutional_market_value_benchmark</x:v>
      </x:c>
      <x:c r="D51" s="14" t="str">
        <x:v>Canada</x:v>
      </x:c>
      <x:c r="E51" s="14" t="n">
        <x:v>2021</x:v>
      </x:c>
      <x:c r="F51" s="14" t="str">
        <x:v>calendar_year</x:v>
      </x:c>
      <x:c r="G51" s="45" t="n">
        <x:v>2040000000</x:v>
      </x:c>
      <x:c r="H51" s="45" t="str">
        <x:v>CAD</x:v>
      </x:c>
      <x:c r="I51" s="45" t="n">
        <x:v>1.4825689922481</x:v>
      </x:c>
      <x:c r="J51" s="45" t="n">
        <x:f>G51/I51</x:f>
        <x:v>1375989927.3939602</x:v>
      </x:c>
      <x:c r="K51" s="14" t="str">
        <x:v>ECB-EXR-A-CAD-EUR-SP00-A-2021</x:v>
      </x:c>
      <x:c r="L51" s="14" t="str">
        <x:v>https://data-api.ecb.europa.eu/service/data/EXR/A.CAD.EUR.SP00.A?startPeriod=2021&amp;endPeriod=2021&amp;format=csvdata</x:v>
      </x:c>
      <x:c r="M51" s="14" t="str">
        <x:v>computed</x:v>
      </x:c>
      <x:c r="N51" s="14" t="str">
        <x:v>original_amount_divided_by_ecb_annual_average</x:v>
      </x:c>
    </x:row>
    <x:row r="52" ht="25.5" customHeight="1">
      <x:c r="A52" s="14" t="str">
        <x:v>market_observation</x:v>
      </x:c>
      <x:c r="B52" s="14" t="str">
        <x:v>CA-2021-HC-GAS-CONVENIENCE-VAPING-SALES-BENCHMARK</x:v>
      </x:c>
      <x:c r="C52" s="14" t="str">
        <x:v>institutional_channel_value_benchmark</x:v>
      </x:c>
      <x:c r="D52" s="14" t="str">
        <x:v>Canada</x:v>
      </x:c>
      <x:c r="E52" s="14" t="n">
        <x:v>2021</x:v>
      </x:c>
      <x:c r="F52" s="14" t="str">
        <x:v>calendar_year</x:v>
      </x:c>
      <x:c r="G52" s="45" t="n">
        <x:v>631000000</x:v>
      </x:c>
      <x:c r="H52" s="45" t="str">
        <x:v>CAD</x:v>
      </x:c>
      <x:c r="I52" s="45" t="n">
        <x:v>1.4825689922481</x:v>
      </x:c>
      <x:c r="J52" s="45" t="n">
        <x:f>G52/I52</x:f>
        <x:v>425612570.67921025</x:v>
      </x:c>
      <x:c r="K52" s="14" t="str">
        <x:v>ECB-EXR-A-CAD-EUR-SP00-A-2021</x:v>
      </x:c>
      <x:c r="L52" s="14" t="str">
        <x:v>https://data-api.ecb.europa.eu/service/data/EXR/A.CAD.EUR.SP00.A?startPeriod=2021&amp;endPeriod=2021&amp;format=csvdata</x:v>
      </x:c>
      <x:c r="M52" s="14" t="str">
        <x:v>computed</x:v>
      </x:c>
      <x:c r="N52" s="14" t="str">
        <x:v>original_amount_divided_by_ecb_annual_average</x:v>
      </x:c>
    </x:row>
    <x:row r="53" ht="25.5" customHeight="1">
      <x:c r="A53" s="14" t="str">
        <x:v>market_observation</x:v>
      </x:c>
      <x:c r="B53" s="14" t="str">
        <x:v>CA-2021-HC-ONLINE-VAPING-SALES-BENCHMARK</x:v>
      </x:c>
      <x:c r="C53" s="14" t="str">
        <x:v>institutional_channel_value_benchmark</x:v>
      </x:c>
      <x:c r="D53" s="14" t="str">
        <x:v>Canada</x:v>
      </x:c>
      <x:c r="E53" s="14" t="n">
        <x:v>2021</x:v>
      </x:c>
      <x:c r="F53" s="14" t="str">
        <x:v>calendar_year</x:v>
      </x:c>
      <x:c r="G53" s="45" t="n">
        <x:v>436000000</x:v>
      </x:c>
      <x:c r="H53" s="45" t="str">
        <x:v>CAD</x:v>
      </x:c>
      <x:c r="I53" s="45" t="n">
        <x:v>1.4825689922481</x:v>
      </x:c>
      <x:c r="J53" s="45" t="n">
        <x:f>G53/I53</x:f>
        <x:v>294084121.73714054</x:v>
      </x:c>
      <x:c r="K53" s="14" t="str">
        <x:v>ECB-EXR-A-CAD-EUR-SP00-A-2021</x:v>
      </x:c>
      <x:c r="L53" s="14" t="str">
        <x:v>https://data-api.ecb.europa.eu/service/data/EXR/A.CAD.EUR.SP00.A?startPeriod=2021&amp;endPeriod=2021&amp;format=csvdata</x:v>
      </x:c>
      <x:c r="M53" s="14" t="str">
        <x:v>computed</x:v>
      </x:c>
      <x:c r="N53" s="14" t="str">
        <x:v>original_amount_divided_by_ecb_annual_average</x:v>
      </x:c>
    </x:row>
    <x:row r="54" ht="25.5" customHeight="1">
      <x:c r="A54" s="14" t="str">
        <x:v>market_observation</x:v>
      </x:c>
      <x:c r="B54" s="14" t="str">
        <x:v>DE-2024-EUROSTAT-20595980-SOLD-PRODUCTION-EUR</x:v>
      </x:c>
      <x:c r="C54" s="14" t="str">
        <x:v>prodcom_20595980_sold_production_value</x:v>
      </x:c>
      <x:c r="D54" s="14" t="str">
        <x:v>Germany</x:v>
      </x:c>
      <x:c r="E54" s="14" t="n">
        <x:v>2024</x:v>
      </x:c>
      <x:c r="F54" s="14" t="str">
        <x:v>calendar_year</x:v>
      </x:c>
      <x:c r="G54" s="45" t="n">
        <x:v>39078000</x:v>
      </x:c>
      <x:c r="H54" s="45" t="str">
        <x:v>EUR</x:v>
      </x:c>
      <x:c r="I54" s="45" t="n">
        <x:v>1</x:v>
      </x:c>
      <x:c r="J54" s="45" t="n">
        <x:f>G54</x:f>
        <x:v>39078000</x:v>
      </x:c>
      <x:c r="K54" s="14" t="str">
        <x:v>EUR-IDENTITY</x:v>
      </x:c>
      <x:c r="L54" s="14" t="str">
        <x:v>https://www.ecb.europa.eu/stats/policy_and_exchange_rates/euro_reference_exchange_rates/html/index.en.html</x:v>
      </x:c>
      <x:c r="M54" s="14" t="str">
        <x:v>already_eur</x:v>
      </x:c>
      <x:c r="N54" s="14" t="str">
        <x:v>original_currency_already_eur</x:v>
      </x:c>
    </x:row>
    <x:row r="55" ht="25.5" customHeight="1">
      <x:c r="A55" s="14" t="str">
        <x:v>market_observation</x:v>
      </x:c>
      <x:c r="B55" s="14" t="str">
        <x:v>DE-2024-EUROSTAT-20595980-IMPORTS-EUR</x:v>
      </x:c>
      <x:c r="C55" s="14" t="str">
        <x:v>prodcom_20595980_import_value</x:v>
      </x:c>
      <x:c r="D55" s="14" t="str">
        <x:v>Germany</x:v>
      </x:c>
      <x:c r="E55" s="14" t="n">
        <x:v>2024</x:v>
      </x:c>
      <x:c r="F55" s="14" t="str">
        <x:v>calendar_year</x:v>
      </x:c>
      <x:c r="G55" s="45" t="n">
        <x:v>400843037</x:v>
      </x:c>
      <x:c r="H55" s="45" t="str">
        <x:v>EUR</x:v>
      </x:c>
      <x:c r="I55" s="45" t="n">
        <x:v>1</x:v>
      </x:c>
      <x:c r="J55" s="45" t="n">
        <x:f>G55</x:f>
        <x:v>400843037</x:v>
      </x:c>
      <x:c r="K55" s="14" t="str">
        <x:v>EUR-IDENTITY</x:v>
      </x:c>
      <x:c r="L55" s="14" t="str">
        <x:v>https://www.ecb.europa.eu/stats/policy_and_exchange_rates/euro_reference_exchange_rates/html/index.en.html</x:v>
      </x:c>
      <x:c r="M55" s="14" t="str">
        <x:v>already_eur</x:v>
      </x:c>
      <x:c r="N55" s="14" t="str">
        <x:v>original_currency_already_eur</x:v>
      </x:c>
    </x:row>
    <x:row r="56" ht="25.5" customHeight="1">
      <x:c r="A56" s="14" t="str">
        <x:v>market_observation</x:v>
      </x:c>
      <x:c r="B56" s="14" t="str">
        <x:v>DE-2024-EUROSTAT-20595980-EXPORTS-EUR</x:v>
      </x:c>
      <x:c r="C56" s="14" t="str">
        <x:v>prodcom_20595980_export_value</x:v>
      </x:c>
      <x:c r="D56" s="14" t="str">
        <x:v>Germany</x:v>
      </x:c>
      <x:c r="E56" s="14" t="n">
        <x:v>2024</x:v>
      </x:c>
      <x:c r="F56" s="14" t="str">
        <x:v>calendar_year</x:v>
      </x:c>
      <x:c r="G56" s="45" t="n">
        <x:v>120676188</x:v>
      </x:c>
      <x:c r="H56" s="45" t="str">
        <x:v>EUR</x:v>
      </x:c>
      <x:c r="I56" s="45" t="n">
        <x:v>1</x:v>
      </x:c>
      <x:c r="J56" s="45" t="n">
        <x:f>G56</x:f>
        <x:v>120676188</x:v>
      </x:c>
      <x:c r="K56" s="14" t="str">
        <x:v>EUR-IDENTITY</x:v>
      </x:c>
      <x:c r="L56" s="14" t="str">
        <x:v>https://www.ecb.europa.eu/stats/policy_and_exchange_rates/euro_reference_exchange_rates/html/index.en.html</x:v>
      </x:c>
      <x:c r="M56" s="14" t="str">
        <x:v>already_eur</x:v>
      </x:c>
      <x:c r="N56" s="14" t="str">
        <x:v>original_currency_already_eur</x:v>
      </x:c>
    </x:row>
    <x:row r="57" ht="25.5" customHeight="1">
      <x:c r="A57" s="14" t="str">
        <x:v>market_observation</x:v>
      </x:c>
      <x:c r="B57" s="14" t="str">
        <x:v>DE-2024-EUROSTAT-27901152-SOLD-PRODUCTION-EUR</x:v>
      </x:c>
      <x:c r="C57" s="14" t="str">
        <x:v>prodcom_27901152_sold_production_value</x:v>
      </x:c>
      <x:c r="D57" s="14" t="str">
        <x:v>Germany</x:v>
      </x:c>
      <x:c r="E57" s="14" t="n">
        <x:v>2024</x:v>
      </x:c>
      <x:c r="F57" s="14" t="str">
        <x:v>calendar_year</x:v>
      </x:c>
      <x:c r="G57" s="45" t="n">
        <x:v>99890000</x:v>
      </x:c>
      <x:c r="H57" s="45" t="str">
        <x:v>EUR</x:v>
      </x:c>
      <x:c r="I57" s="45" t="n">
        <x:v>1</x:v>
      </x:c>
      <x:c r="J57" s="45" t="n">
        <x:f>G57</x:f>
        <x:v>99890000</x:v>
      </x:c>
      <x:c r="K57" s="14" t="str">
        <x:v>EUR-IDENTITY</x:v>
      </x:c>
      <x:c r="L57" s="14" t="str">
        <x:v>https://www.ecb.europa.eu/stats/policy_and_exchange_rates/euro_reference_exchange_rates/html/index.en.html</x:v>
      </x:c>
      <x:c r="M57" s="14" t="str">
        <x:v>already_eur</x:v>
      </x:c>
      <x:c r="N57" s="14" t="str">
        <x:v>original_currency_already_eur</x:v>
      </x:c>
    </x:row>
    <x:row r="58" ht="25.5" customHeight="1">
      <x:c r="A58" s="14" t="str">
        <x:v>market_observation</x:v>
      </x:c>
      <x:c r="B58" s="14" t="str">
        <x:v>DE-2024-EUROSTAT-27901152-IMPORTS-EUR</x:v>
      </x:c>
      <x:c r="C58" s="14" t="str">
        <x:v>prodcom_27901152_import_value</x:v>
      </x:c>
      <x:c r="D58" s="14" t="str">
        <x:v>Germany</x:v>
      </x:c>
      <x:c r="E58" s="14" t="n">
        <x:v>2024</x:v>
      </x:c>
      <x:c r="F58" s="14" t="str">
        <x:v>calendar_year</x:v>
      </x:c>
      <x:c r="G58" s="45" t="n">
        <x:v>490580247</x:v>
      </x:c>
      <x:c r="H58" s="45" t="str">
        <x:v>EUR</x:v>
      </x:c>
      <x:c r="I58" s="45" t="n">
        <x:v>1</x:v>
      </x:c>
      <x:c r="J58" s="45" t="n">
        <x:f>G58</x:f>
        <x:v>490580247</x:v>
      </x:c>
      <x:c r="K58" s="14" t="str">
        <x:v>EUR-IDENTITY</x:v>
      </x:c>
      <x:c r="L58" s="14" t="str">
        <x:v>https://www.ecb.europa.eu/stats/policy_and_exchange_rates/euro_reference_exchange_rates/html/index.en.html</x:v>
      </x:c>
      <x:c r="M58" s="14" t="str">
        <x:v>already_eur</x:v>
      </x:c>
      <x:c r="N58" s="14" t="str">
        <x:v>original_currency_already_eur</x:v>
      </x:c>
    </x:row>
    <x:row r="59" ht="25.5" customHeight="1">
      <x:c r="A59" s="14" t="str">
        <x:v>market_observation</x:v>
      </x:c>
      <x:c r="B59" s="14" t="str">
        <x:v>DE-2024-EUROSTAT-27901152-EXPORTS-EUR</x:v>
      </x:c>
      <x:c r="C59" s="14" t="str">
        <x:v>prodcom_27901152_export_value</x:v>
      </x:c>
      <x:c r="D59" s="14" t="str">
        <x:v>Germany</x:v>
      </x:c>
      <x:c r="E59" s="14" t="n">
        <x:v>2024</x:v>
      </x:c>
      <x:c r="F59" s="14" t="str">
        <x:v>calendar_year</x:v>
      </x:c>
      <x:c r="G59" s="45" t="n">
        <x:v>301380538</x:v>
      </x:c>
      <x:c r="H59" s="45" t="str">
        <x:v>EUR</x:v>
      </x:c>
      <x:c r="I59" s="45" t="n">
        <x:v>1</x:v>
      </x:c>
      <x:c r="J59" s="45" t="n">
        <x:f>G59</x:f>
        <x:v>301380538</x:v>
      </x:c>
      <x:c r="K59" s="14" t="str">
        <x:v>EUR-IDENTITY</x:v>
      </x:c>
      <x:c r="L59" s="14" t="str">
        <x:v>https://www.ecb.europa.eu/stats/policy_and_exchange_rates/euro_reference_exchange_rates/html/index.en.html</x:v>
      </x:c>
      <x:c r="M59" s="14" t="str">
        <x:v>already_eur</x:v>
      </x:c>
      <x:c r="N59" s="14" t="str">
        <x:v>original_currency_already_eur</x:v>
      </x:c>
    </x:row>
    <x:row r="60" ht="25.5" customHeight="1">
      <x:c r="A60" s="14" t="str">
        <x:v>market_observation</x:v>
      </x:c>
      <x:c r="B60" s="14" t="str">
        <x:v>DE-2024-EUROSTAT-20595980-APPARENT-SUPPLY-EUR</x:v>
      </x:c>
      <x:c r="C60" s="14" t="str">
        <x:v>prodcom_20595980_apparent_supply_value</x:v>
      </x:c>
      <x:c r="D60" s="14" t="str">
        <x:v>Germany</x:v>
      </x:c>
      <x:c r="E60" s="14" t="n">
        <x:v>2024</x:v>
      </x:c>
      <x:c r="F60" s="14" t="str">
        <x:v>calendar_year</x:v>
      </x:c>
      <x:c r="G60" s="45" t="n">
        <x:v>319244849</x:v>
      </x:c>
      <x:c r="H60" s="45" t="str">
        <x:v>EUR</x:v>
      </x:c>
      <x:c r="I60" s="45" t="n">
        <x:v>1</x:v>
      </x:c>
      <x:c r="J60" s="45" t="n">
        <x:f>G60</x:f>
        <x:v>319244849</x:v>
      </x:c>
      <x:c r="K60" s="14" t="str">
        <x:v>EUR-IDENTITY</x:v>
      </x:c>
      <x:c r="L60" s="14" t="str">
        <x:v>https://www.ecb.europa.eu/stats/policy_and_exchange_rates/euro_reference_exchange_rates/html/index.en.html</x:v>
      </x:c>
      <x:c r="M60" s="14" t="str">
        <x:v>already_eur</x:v>
      </x:c>
      <x:c r="N60" s="14" t="str">
        <x:v>original_currency_already_eur</x:v>
      </x:c>
    </x:row>
    <x:row r="61" ht="25.5" customHeight="1">
      <x:c r="A61" s="14" t="str">
        <x:v>market_observation</x:v>
      </x:c>
      <x:c r="B61" s="14" t="str">
        <x:v>DE-2024-EUROSTAT-27901152-APPARENT-SUPPLY-EUR</x:v>
      </x:c>
      <x:c r="C61" s="14" t="str">
        <x:v>prodcom_27901152_apparent_supply_value</x:v>
      </x:c>
      <x:c r="D61" s="14" t="str">
        <x:v>Germany</x:v>
      </x:c>
      <x:c r="E61" s="14" t="n">
        <x:v>2024</x:v>
      </x:c>
      <x:c r="F61" s="14" t="str">
        <x:v>calendar_year</x:v>
      </x:c>
      <x:c r="G61" s="45" t="n">
        <x:v>289089709</x:v>
      </x:c>
      <x:c r="H61" s="45" t="str">
        <x:v>EUR</x:v>
      </x:c>
      <x:c r="I61" s="45" t="n">
        <x:v>1</x:v>
      </x:c>
      <x:c r="J61" s="45" t="n">
        <x:f>G61</x:f>
        <x:v>289089709</x:v>
      </x:c>
      <x:c r="K61" s="14" t="str">
        <x:v>EUR-IDENTITY</x:v>
      </x:c>
      <x:c r="L61" s="14" t="str">
        <x:v>https://www.ecb.europa.eu/stats/policy_and_exchange_rates/euro_reference_exchange_rates/html/index.en.html</x:v>
      </x:c>
      <x:c r="M61" s="14" t="str">
        <x:v>already_eur</x:v>
      </x:c>
      <x:c r="N61" s="14" t="str">
        <x:v>original_currency_already_eur</x:v>
      </x:c>
    </x:row>
    <x:row r="62" ht="25.5" customHeight="1">
      <x:c r="A62" s="14" t="str">
        <x:v>market_observation</x:v>
      </x:c>
      <x:c r="B62" s="14" t="str">
        <x:v>DE-2024-EUROSTAT-COMBINED-APPARENT-SUPPLY-EUR</x:v>
      </x:c>
      <x:c r="C62" s="14" t="str">
        <x:v>combined_prodcom_apparent_supply_value</x:v>
      </x:c>
      <x:c r="D62" s="14" t="str">
        <x:v>Germany</x:v>
      </x:c>
      <x:c r="E62" s="14" t="n">
        <x:v>2024</x:v>
      </x:c>
      <x:c r="F62" s="14" t="str">
        <x:v>calendar_year</x:v>
      </x:c>
      <x:c r="G62" s="45" t="n">
        <x:v>608334558</x:v>
      </x:c>
      <x:c r="H62" s="45" t="str">
        <x:v>EUR</x:v>
      </x:c>
      <x:c r="I62" s="45" t="n">
        <x:v>1</x:v>
      </x:c>
      <x:c r="J62" s="45" t="n">
        <x:f>G62</x:f>
        <x:v>608334558</x:v>
      </x:c>
      <x:c r="K62" s="14" t="str">
        <x:v>EUR-IDENTITY</x:v>
      </x:c>
      <x:c r="L62" s="14" t="str">
        <x:v>https://www.ecb.europa.eu/stats/policy_and_exchange_rates/euro_reference_exchange_rates/html/index.en.html</x:v>
      </x:c>
      <x:c r="M62" s="14" t="str">
        <x:v>already_eur</x:v>
      </x:c>
      <x:c r="N62" s="14" t="str">
        <x:v>original_currency_already_eur</x:v>
      </x:c>
    </x:row>
    <x:row r="63" ht="25.5" customHeight="1">
      <x:c r="A63" s="14" t="str">
        <x:v>market_observation</x:v>
      </x:c>
      <x:c r="B63" s="14" t="str">
        <x:v>DE-2024-EUROSTAT-APPARENT-SUPPLY-EXCISE-VAT-BRIDGE-EUR</x:v>
      </x:c>
      <x:c r="C63" s="14" t="str">
        <x:v>mechanical_apparent_supply_excise_vat_bridge</x:v>
      </x:c>
      <x:c r="D63" s="14" t="str">
        <x:v>Germany</x:v>
      </x:c>
      <x:c r="E63" s="14" t="n">
        <x:v>2024</x:v>
      </x:c>
      <x:c r="F63" s="14" t="str">
        <x:v>calendar_year</x:v>
      </x:c>
      <x:c r="G63" s="45" t="n">
        <x:v>1040458124.02</x:v>
      </x:c>
      <x:c r="H63" s="45" t="str">
        <x:v>EUR</x:v>
      </x:c>
      <x:c r="I63" s="45" t="n">
        <x:v>1</x:v>
      </x:c>
      <x:c r="J63" s="45" t="n">
        <x:f>G63</x:f>
        <x:v>1040458124.02</x:v>
      </x:c>
      <x:c r="K63" s="14" t="str">
        <x:v>EUR-IDENTITY</x:v>
      </x:c>
      <x:c r="L63" s="14" t="str">
        <x:v>https://www.ecb.europa.eu/stats/policy_and_exchange_rates/euro_reference_exchange_rates/html/index.en.html</x:v>
      </x:c>
      <x:c r="M63" s="14" t="str">
        <x:v>already_eur</x:v>
      </x:c>
      <x:c r="N63" s="14" t="str">
        <x:v>original_currency_already_eur</x:v>
      </x:c>
    </x:row>
    <x:row r="64" ht="25.5" customHeight="1">
      <x:c r="A64" s="14" t="str">
        <x:v>market_observation</x:v>
      </x:c>
      <x:c r="B64" s="14" t="str">
        <x:v>PL-2023-CMR-DISPOSABLE-E-CIGARETTE-RETAIL-SALES-VALUE</x:v>
      </x:c>
      <x:c r="C64" s="14" t="str">
        <x:v>commercial_disposable_e_cigarette_retail_sales_value</x:v>
      </x:c>
      <x:c r="D64" s="14" t="str">
        <x:v>Poland</x:v>
      </x:c>
      <x:c r="E64" s="14" t="n">
        <x:v>2023</x:v>
      </x:c>
      <x:c r="F64" s="14" t="str">
        <x:v>calendar_year</x:v>
      </x:c>
      <x:c r="G64" s="45" t="n">
        <x:v>2000000000</x:v>
      </x:c>
      <x:c r="H64" s="45" t="str">
        <x:v>PLN</x:v>
      </x:c>
      <x:c r="I64" s="45" t="n">
        <x:v>4.5419658823529</x:v>
      </x:c>
      <x:c r="J64" s="45" t="n">
        <x:f>G64/I64</x:f>
        <x:v>440337961.9760439</x:v>
      </x:c>
      <x:c r="K64" s="14" t="str">
        <x:v>ECB-EXR-A-PLN-EUR-SP00-A-2023</x:v>
      </x:c>
      <x:c r="L64" s="14" t="str">
        <x:v>https://data-api.ecb.europa.eu/service/data/EXR/A.PLN.EUR.SP00.A?startPeriod=2023&amp;endPeriod=2023&amp;format=csvdata</x:v>
      </x:c>
      <x:c r="M64" s="14" t="str">
        <x:v>computed</x:v>
      </x:c>
      <x:c r="N64" s="14" t="str">
        <x:v>original_amount_divided_by_ecb_annual_average</x:v>
      </x:c>
    </x:row>
    <x:row r="65" ht="25.5" customHeight="1">
      <x:c r="A65" s="14" t="str">
        <x:v>scenario_component</x:v>
      </x:c>
      <x:c r="B65" s="14" t="str">
        <x:v>NZ-2024-RETAIL-RANGE</x:v>
      </x:c>
      <x:c r="C65" s="14" t="str">
        <x:v>low.specialistRetailNzd</x:v>
      </x:c>
      <x:c r="D65" s="14" t="str">
        <x:v>New Zealand</x:v>
      </x:c>
      <x:c r="E65" s="14" t="n">
        <x:v>2024</x:v>
      </x:c>
      <x:c r="F65" s="14" t="str">
        <x:v>calendar_year</x:v>
      </x:c>
      <x:c r="G65" s="45" t="n">
        <x:v>258327110.88</x:v>
      </x:c>
      <x:c r="H65" s="45" t="str">
        <x:v>NZD</x:v>
      </x:c>
      <x:c r="I65" s="45" t="n">
        <x:v>1.788048828125</x:v>
      </x:c>
      <x:c r="J65" s="45" t="n">
        <x:f>G65/I65</x:f>
        <x:v>144474304.51375833</x:v>
      </x:c>
      <x:c r="K65" s="14" t="str">
        <x:v>ECB-EXR-A-NZD-EUR-SP00-A-2024</x:v>
      </x:c>
      <x:c r="L65" s="14" t="str">
        <x:v>https://data-api.ecb.europa.eu/service/data/EXR/A.NZD.EUR.SP00.A?startPeriod=2024&amp;endPeriod=2024&amp;format=csvdata</x:v>
      </x:c>
      <x:c r="M65" s="14" t="str">
        <x:v>computed</x:v>
      </x:c>
      <x:c r="N65" s="14" t="str">
        <x:v>original_amount_divided_by_ecb_annual_average</x:v>
      </x:c>
    </x:row>
    <x:row r="66" ht="25.5" customHeight="1">
      <x:c r="A66" s="14" t="str">
        <x:v>scenario_component</x:v>
      </x:c>
      <x:c r="B66" s="14" t="str">
        <x:v>NZ-2024-RETAIL-RANGE</x:v>
      </x:c>
      <x:c r="C66" s="14" t="str">
        <x:v>low.generalRetailRpsNzd</x:v>
      </x:c>
      <x:c r="D66" s="14" t="str">
        <x:v>New Zealand</x:v>
      </x:c>
      <x:c r="E66" s="14" t="n">
        <x:v>2024</x:v>
      </x:c>
      <x:c r="F66" s="14" t="str">
        <x:v>calendar_year</x:v>
      </x:c>
      <x:c r="G66" s="45" t="n">
        <x:v>275335272.8</x:v>
      </x:c>
      <x:c r="H66" s="45" t="str">
        <x:v>NZD</x:v>
      </x:c>
      <x:c r="I66" s="45" t="n">
        <x:v>1.788048828125</x:v>
      </x:c>
      <x:c r="J66" s="45" t="n">
        <x:f>G66/I66</x:f>
        <x:v>153986439.55865824</x:v>
      </x:c>
      <x:c r="K66" s="14" t="str">
        <x:v>ECB-EXR-A-NZD-EUR-SP00-A-2024</x:v>
      </x:c>
      <x:c r="L66" s="14" t="str">
        <x:v>https://data-api.ecb.europa.eu/service/data/EXR/A.NZD.EUR.SP00.A?startPeriod=2024&amp;endPeriod=2024&amp;format=csvdata</x:v>
      </x:c>
      <x:c r="M66" s="14" t="str">
        <x:v>computed</x:v>
      </x:c>
      <x:c r="N66" s="14" t="str">
        <x:v>original_amount_divided_by_ecb_annual_average</x:v>
      </x:c>
    </x:row>
    <x:row r="67" ht="25.5" customHeight="1">
      <x:c r="A67" s="14" t="str">
        <x:v>scenario_component</x:v>
      </x:c>
      <x:c r="B67" s="14" t="str">
        <x:v>NZ-2024-RETAIL-RANGE</x:v>
      </x:c>
      <x:c r="C67" s="14" t="str">
        <x:v>low.combinedNzd</x:v>
      </x:c>
      <x:c r="D67" s="14" t="str">
        <x:v>New Zealand</x:v>
      </x:c>
      <x:c r="E67" s="14" t="n">
        <x:v>2024</x:v>
      </x:c>
      <x:c r="F67" s="14" t="str">
        <x:v>calendar_year</x:v>
      </x:c>
      <x:c r="G67" s="45" t="n">
        <x:v>533662383.68</x:v>
      </x:c>
      <x:c r="H67" s="45" t="str">
        <x:v>NZD</x:v>
      </x:c>
      <x:c r="I67" s="45" t="n">
        <x:v>1.788048828125</x:v>
      </x:c>
      <x:c r="J67" s="45" t="n">
        <x:f>G67/I67</x:f>
        <x:v>298460744.0724166</x:v>
      </x:c>
      <x:c r="K67" s="14" t="str">
        <x:v>ECB-EXR-A-NZD-EUR-SP00-A-2024</x:v>
      </x:c>
      <x:c r="L67" s="14" t="str">
        <x:v>https://data-api.ecb.europa.eu/service/data/EXR/A.NZD.EUR.SP00.A?startPeriod=2024&amp;endPeriod=2024&amp;format=csvdata</x:v>
      </x:c>
      <x:c r="M67" s="14" t="str">
        <x:v>computed</x:v>
      </x:c>
      <x:c r="N67" s="14" t="str">
        <x:v>original_amount_divided_by_ecb_annual_average</x:v>
      </x:c>
    </x:row>
    <x:row r="68" ht="25.5" customHeight="1">
      <x:c r="A68" s="14" t="str">
        <x:v>scenario_component</x:v>
      </x:c>
      <x:c r="B68" s="14" t="str">
        <x:v>NZ-2024-RETAIL-RANGE</x:v>
      </x:c>
      <x:c r="C68" s="14" t="str">
        <x:v>base.specialistRetailNzd</x:v>
      </x:c>
      <x:c r="D68" s="14" t="str">
        <x:v>New Zealand</x:v>
      </x:c>
      <x:c r="E68" s="14" t="n">
        <x:v>2024</x:v>
      </x:c>
      <x:c r="F68" s="14" t="str">
        <x:v>calendar_year</x:v>
      </x:c>
      <x:c r="G68" s="45" t="n">
        <x:v>274180410.21</x:v>
      </x:c>
      <x:c r="H68" s="45" t="str">
        <x:v>NZD</x:v>
      </x:c>
      <x:c r="I68" s="45" t="n">
        <x:v>1.788048828125</x:v>
      </x:c>
      <x:c r="J68" s="45" t="n">
        <x:f>G68/I68</x:f>
        <x:v>153340560.89369413</x:v>
      </x:c>
      <x:c r="K68" s="14" t="str">
        <x:v>ECB-EXR-A-NZD-EUR-SP00-A-2024</x:v>
      </x:c>
      <x:c r="L68" s="14" t="str">
        <x:v>https://data-api.ecb.europa.eu/service/data/EXR/A.NZD.EUR.SP00.A?startPeriod=2024&amp;endPeriod=2024&amp;format=csvdata</x:v>
      </x:c>
      <x:c r="M68" s="14" t="str">
        <x:v>computed</x:v>
      </x:c>
      <x:c r="N68" s="14" t="str">
        <x:v>original_amount_divided_by_ecb_annual_average</x:v>
      </x:c>
    </x:row>
    <x:row r="69" ht="25.5" customHeight="1">
      <x:c r="A69" s="14" t="str">
        <x:v>scenario_component</x:v>
      </x:c>
      <x:c r="B69" s="14" t="str">
        <x:v>NZ-2024-RETAIL-RANGE</x:v>
      </x:c>
      <x:c r="C69" s="14" t="str">
        <x:v>base.generalRetailRpsNzd</x:v>
      </x:c>
      <x:c r="D69" s="14" t="str">
        <x:v>New Zealand</x:v>
      </x:c>
      <x:c r="E69" s="14" t="n">
        <x:v>2024</x:v>
      </x:c>
      <x:c r="F69" s="14" t="str">
        <x:v>calendar_year</x:v>
      </x:c>
      <x:c r="G69" s="45" t="n">
        <x:v>367631277.68</x:v>
      </x:c>
      <x:c r="H69" s="45" t="str">
        <x:v>NZD</x:v>
      </x:c>
      <x:c r="I69" s="45" t="n">
        <x:v>1.788048828125</x:v>
      </x:c>
      <x:c r="J69" s="45" t="n">
        <x:f>G69/I69</x:f>
        <x:v>205604719.4558489</x:v>
      </x:c>
      <x:c r="K69" s="14" t="str">
        <x:v>ECB-EXR-A-NZD-EUR-SP00-A-2024</x:v>
      </x:c>
      <x:c r="L69" s="14" t="str">
        <x:v>https://data-api.ecb.europa.eu/service/data/EXR/A.NZD.EUR.SP00.A?startPeriod=2024&amp;endPeriod=2024&amp;format=csvdata</x:v>
      </x:c>
      <x:c r="M69" s="14" t="str">
        <x:v>computed</x:v>
      </x:c>
      <x:c r="N69" s="14" t="str">
        <x:v>original_amount_divided_by_ecb_annual_average</x:v>
      </x:c>
    </x:row>
    <x:row r="70" ht="25.5" customHeight="1">
      <x:c r="A70" s="14" t="str">
        <x:v>scenario_component</x:v>
      </x:c>
      <x:c r="B70" s="14" t="str">
        <x:v>NZ-2024-RETAIL-RANGE</x:v>
      </x:c>
      <x:c r="C70" s="14" t="str">
        <x:v>base.combinedNzd</x:v>
      </x:c>
      <x:c r="D70" s="14" t="str">
        <x:v>New Zealand</x:v>
      </x:c>
      <x:c r="E70" s="14" t="n">
        <x:v>2024</x:v>
      </x:c>
      <x:c r="F70" s="14" t="str">
        <x:v>calendar_year</x:v>
      </x:c>
      <x:c r="G70" s="45" t="n">
        <x:v>641811687.89</x:v>
      </x:c>
      <x:c r="H70" s="45" t="str">
        <x:v>NZD</x:v>
      </x:c>
      <x:c r="I70" s="45" t="n">
        <x:v>1.788048828125</x:v>
      </x:c>
      <x:c r="J70" s="45" t="n">
        <x:f>G70/I70</x:f>
        <x:v>358945280.34954304</x:v>
      </x:c>
      <x:c r="K70" s="14" t="str">
        <x:v>ECB-EXR-A-NZD-EUR-SP00-A-2024</x:v>
      </x:c>
      <x:c r="L70" s="14" t="str">
        <x:v>https://data-api.ecb.europa.eu/service/data/EXR/A.NZD.EUR.SP00.A?startPeriod=2024&amp;endPeriod=2024&amp;format=csvdata</x:v>
      </x:c>
      <x:c r="M70" s="14" t="str">
        <x:v>computed</x:v>
      </x:c>
      <x:c r="N70" s="14" t="str">
        <x:v>original_amount_divided_by_ecb_annual_average</x:v>
      </x:c>
    </x:row>
    <x:row r="71" ht="25.5" customHeight="1">
      <x:c r="A71" s="14" t="str">
        <x:v>scenario_component</x:v>
      </x:c>
      <x:c r="B71" s="14" t="str">
        <x:v>NZ-2024-RETAIL-RANGE</x:v>
      </x:c>
      <x:c r="C71" s="14" t="str">
        <x:v>high.specialistRetailNzd</x:v>
      </x:c>
      <x:c r="D71" s="14" t="str">
        <x:v>New Zealand</x:v>
      </x:c>
      <x:c r="E71" s="14" t="n">
        <x:v>2024</x:v>
      </x:c>
      <x:c r="F71" s="14" t="str">
        <x:v>calendar_year</x:v>
      </x:c>
      <x:c r="G71" s="45" t="n">
        <x:v>274180410.21</x:v>
      </x:c>
      <x:c r="H71" s="45" t="str">
        <x:v>NZD</x:v>
      </x:c>
      <x:c r="I71" s="45" t="n">
        <x:v>1.788048828125</x:v>
      </x:c>
      <x:c r="J71" s="45" t="n">
        <x:f>G71/I71</x:f>
        <x:v>153340560.89369413</x:v>
      </x:c>
      <x:c r="K71" s="14" t="str">
        <x:v>ECB-EXR-A-NZD-EUR-SP00-A-2024</x:v>
      </x:c>
      <x:c r="L71" s="14" t="str">
        <x:v>https://data-api.ecb.europa.eu/service/data/EXR/A.NZD.EUR.SP00.A?startPeriod=2024&amp;endPeriod=2024&amp;format=csvdata</x:v>
      </x:c>
      <x:c r="M71" s="14" t="str">
        <x:v>computed</x:v>
      </x:c>
      <x:c r="N71" s="14" t="str">
        <x:v>original_amount_divided_by_ecb_annual_average</x:v>
      </x:c>
    </x:row>
    <x:row r="72" ht="25.5" customHeight="1">
      <x:c r="A72" s="14" t="str">
        <x:v>scenario_component</x:v>
      </x:c>
      <x:c r="B72" s="14" t="str">
        <x:v>NZ-2024-RETAIL-RANGE</x:v>
      </x:c>
      <x:c r="C72" s="14" t="str">
        <x:v>high.generalRetailRpsNzd</x:v>
      </x:c>
      <x:c r="D72" s="14" t="str">
        <x:v>New Zealand</x:v>
      </x:c>
      <x:c r="E72" s="14" t="n">
        <x:v>2024</x:v>
      </x:c>
      <x:c r="F72" s="14" t="str">
        <x:v>calendar_year</x:v>
      </x:c>
      <x:c r="G72" s="45" t="n">
        <x:v>456995382.29</x:v>
      </x:c>
      <x:c r="H72" s="45" t="str">
        <x:v>NZD</x:v>
      </x:c>
      <x:c r="I72" s="45" t="n">
        <x:v>1.788048828125</x:v>
      </x:c>
      <x:c r="J72" s="45" t="n">
        <x:f>G72/I72</x:f>
        <x:v>255583278.88015154</x:v>
      </x:c>
      <x:c r="K72" s="14" t="str">
        <x:v>ECB-EXR-A-NZD-EUR-SP00-A-2024</x:v>
      </x:c>
      <x:c r="L72" s="14" t="str">
        <x:v>https://data-api.ecb.europa.eu/service/data/EXR/A.NZD.EUR.SP00.A?startPeriod=2024&amp;endPeriod=2024&amp;format=csvdata</x:v>
      </x:c>
      <x:c r="M72" s="14" t="str">
        <x:v>computed</x:v>
      </x:c>
      <x:c r="N72" s="14" t="str">
        <x:v>original_amount_divided_by_ecb_annual_average</x:v>
      </x:c>
    </x:row>
    <x:row r="73" ht="25.5" customHeight="1">
      <x:c r="A73" s="14" t="str">
        <x:v>scenario_component</x:v>
      </x:c>
      <x:c r="B73" s="14" t="str">
        <x:v>NZ-2024-RETAIL-RANGE</x:v>
      </x:c>
      <x:c r="C73" s="14" t="str">
        <x:v>high.combinedNzd</x:v>
      </x:c>
      <x:c r="D73" s="14" t="str">
        <x:v>New Zealand</x:v>
      </x:c>
      <x:c r="E73" s="14" t="n">
        <x:v>2024</x:v>
      </x:c>
      <x:c r="F73" s="14" t="str">
        <x:v>calendar_year</x:v>
      </x:c>
      <x:c r="G73" s="45" t="n">
        <x:v>731175792.5</x:v>
      </x:c>
      <x:c r="H73" s="45" t="str">
        <x:v>NZD</x:v>
      </x:c>
      <x:c r="I73" s="45" t="n">
        <x:v>1.788048828125</x:v>
      </x:c>
      <x:c r="J73" s="45" t="n">
        <x:f>G73/I73</x:f>
        <x:v>408923839.7738457</x:v>
      </x:c>
      <x:c r="K73" s="14" t="str">
        <x:v>ECB-EXR-A-NZD-EUR-SP00-A-2024</x:v>
      </x:c>
      <x:c r="L73" s="14" t="str">
        <x:v>https://data-api.ecb.europa.eu/service/data/EXR/A.NZD.EUR.SP00.A?startPeriod=2024&amp;endPeriod=2024&amp;format=csvdata</x:v>
      </x:c>
      <x:c r="M73" s="14" t="str">
        <x:v>computed</x:v>
      </x:c>
      <x:c r="N73" s="14" t="str">
        <x:v>original_amount_divided_by_ecb_annual_average</x:v>
      </x:c>
    </x:row>
    <x:row r="74" ht="25.5" customHeight="1">
      <x:c r="A74" s="14" t="str">
        <x:v>model</x:v>
      </x:c>
      <x:c r="B74" s="14" t="str">
        <x:v>DE-2025-LIQUID-RETAIL-EQUIVALENT-RANGE</x:v>
      </x:c>
      <x:c r="C74" s="14" t="str">
        <x:v>low</x:v>
      </x:c>
      <x:c r="D74" s="14"/>
      <x:c r="E74" s="14" t="n">
        <x:v>2025</x:v>
      </x:c>
      <x:c r="F74" s="14" t="str">
        <x:v>calendar_year</x:v>
      </x:c>
      <x:c r="G74" s="45" t="n">
        <x:v>667920000</x:v>
      </x:c>
      <x:c r="H74" s="45" t="str">
        <x:v>EUR</x:v>
      </x:c>
      <x:c r="I74" s="45" t="n">
        <x:v>1</x:v>
      </x:c>
      <x:c r="J74" s="45" t="n">
        <x:f>G74</x:f>
        <x:v>667920000</x:v>
      </x:c>
      <x:c r="K74" s="14" t="str">
        <x:v>EUR-IDENTITY</x:v>
      </x:c>
      <x:c r="L74" s="14" t="str">
        <x:v>https://www.ecb.europa.eu/stats/policy_and_exchange_rates/euro_reference_exchange_rates/html/index.en.html</x:v>
      </x:c>
      <x:c r="M74" s="14" t="str">
        <x:v>already_eur</x:v>
      </x:c>
      <x:c r="N74" s="14" t="str">
        <x:v>original_currency_already_eur</x:v>
      </x:c>
    </x:row>
    <x:row r="75" ht="25.5" customHeight="1">
      <x:c r="A75" s="14" t="str">
        <x:v>model</x:v>
      </x:c>
      <x:c r="B75" s="14" t="str">
        <x:v>DE-2025-LIQUID-RETAIL-EQUIVALENT-RANGE</x:v>
      </x:c>
      <x:c r="C75" s="14" t="str">
        <x:v>central</x:v>
      </x:c>
      <x:c r="D75" s="14"/>
      <x:c r="E75" s="14" t="n">
        <x:v>2025</x:v>
      </x:c>
      <x:c r="F75" s="14" t="str">
        <x:v>calendar_year</x:v>
      </x:c>
      <x:c r="G75" s="45" t="n">
        <x:v>1199220000</x:v>
      </x:c>
      <x:c r="H75" s="45" t="str">
        <x:v>EUR</x:v>
      </x:c>
      <x:c r="I75" s="45" t="n">
        <x:v>1</x:v>
      </x:c>
      <x:c r="J75" s="45" t="n">
        <x:f>G75</x:f>
        <x:v>1199220000</x:v>
      </x:c>
      <x:c r="K75" s="14" t="str">
        <x:v>EUR-IDENTITY</x:v>
      </x:c>
      <x:c r="L75" s="14" t="str">
        <x:v>https://www.ecb.europa.eu/stats/policy_and_exchange_rates/euro_reference_exchange_rates/html/index.en.html</x:v>
      </x:c>
      <x:c r="M75" s="14" t="str">
        <x:v>already_eur</x:v>
      </x:c>
      <x:c r="N75" s="14" t="str">
        <x:v>original_currency_already_eur</x:v>
      </x:c>
    </x:row>
    <x:row r="76" ht="25.5" customHeight="1">
      <x:c r="A76" s="15" t="str">
        <x:v>model</x:v>
      </x:c>
      <x:c r="B76" s="15" t="str">
        <x:v>DE-2025-LIQUID-RETAIL-EQUIVALENT-RANGE</x:v>
      </x:c>
      <x:c r="C76" s="15" t="str">
        <x:v>high</x:v>
      </x:c>
      <x:c r="D76" s="15"/>
      <x:c r="E76" s="15" t="n">
        <x:v>2025</x:v>
      </x:c>
      <x:c r="F76" s="15" t="str">
        <x:v>calendar_year</x:v>
      </x:c>
      <x:c r="G76" s="46" t="n">
        <x:v>1654620000</x:v>
      </x:c>
      <x:c r="H76" s="46" t="str">
        <x:v>EUR</x:v>
      </x:c>
      <x:c r="I76" s="46" t="n">
        <x:v>1</x:v>
      </x:c>
      <x:c r="J76" s="46" t="n">
        <x:f>G76</x:f>
        <x:v>1654620000</x:v>
      </x:c>
      <x:c r="K76" s="15" t="str">
        <x:v>EUR-IDENTITY</x:v>
      </x:c>
      <x:c r="L76" s="15" t="str">
        <x:v>https://www.ecb.europa.eu/stats/policy_and_exchange_rates/euro_reference_exchange_rates/html/index.en.html</x:v>
      </x:c>
      <x:c r="M76" s="15" t="str">
        <x:v>already_eur</x:v>
      </x:c>
      <x:c r="N76" s="15" t="str">
        <x:v>original_currency_already_eur</x:v>
      </x:c>
    </x:row>
  </x:sheetData>
  <x:pageMargins left="0.7" right="0.7" top="0.75" bottom="0.75" header="0.3" footer="0.3"/>
  <x:tableParts count="1">
    <x:tablePart xmlns:r="http://schemas.openxmlformats.org/officeDocument/2006/relationships" r:id="Rb7242543625e42ac"/>
  </x:tableParts>
</x:worksheet>
</file>