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6225e2566f48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cc08e05a5f22443f"/>
    <x:sheet xmlns:r="http://schemas.openxmlformats.org/officeDocument/2006/relationships" name="Yhteenveto" sheetId="2" r:id="R9fb6fafcfcdd4727"/>
    <x:sheet xmlns:r="http://schemas.openxmlformats.org/officeDocument/2006/relationships" name="Tutkijan kysymykset" sheetId="3" r:id="R670b4f1c130e44d5"/>
    <x:sheet xmlns:r="http://schemas.openxmlformats.org/officeDocument/2006/relationships" name="Lähteet" sheetId="4" r:id="R47a4088282a44271"/>
    <x:sheet xmlns:r="http://schemas.openxmlformats.org/officeDocument/2006/relationships" name="Eurovastineet" sheetId="5" r:id="R2bcd95653aa94b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acaa1a140c48d0" /><Relationship Type="http://schemas.openxmlformats.org/officeDocument/2006/relationships/theme" Target="/xl/theme/theme1.xml" Id="R00fd80ea8c1e4959" /><Relationship Type="http://schemas.openxmlformats.org/officeDocument/2006/relationships/sharedStrings" Target="/xl/sharedStrings.xml" Id="R342d423f75b94cba" /><Relationship Type="http://schemas.openxmlformats.org/officeDocument/2006/relationships/worksheet" Target="/xl/worksheets/sheet1.xml" Id="Rcc08e05a5f22443f" /><Relationship Type="http://schemas.openxmlformats.org/officeDocument/2006/relationships/worksheet" Target="/xl/worksheets/sheet2.xml" Id="R9fb6fafcfcdd4727" /><Relationship Type="http://schemas.openxmlformats.org/officeDocument/2006/relationships/worksheet" Target="/xl/worksheets/sheet3.xml" Id="R670b4f1c130e44d5" /><Relationship Type="http://schemas.openxmlformats.org/officeDocument/2006/relationships/worksheet" Target="/xl/worksheets/sheet4.xml" Id="R47a4088282a44271" /><Relationship Type="http://schemas.openxmlformats.org/officeDocument/2006/relationships/worksheet" Target="/xl/worksheets/sheet5.xml" Id="R2bcd95653aa94bca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89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43488d06c34c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32723de12dc470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ba89781e37b49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9f4daa69a84468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Julkinen markkina-aineisto sisältää 84 havaintoa 24 lähteestä; 75 virallista havaintoa jakautuvat 39 markkinamittariin ja 36 Ruotsin FHM-rekisterirakenteen lukuun.</x:v>
      </x:c>
      <x:c r="B11" s="14" t="str">
        <x:v>Markkinakoko</x:v>
      </x:c>
      <x:c r="C11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1" s="14" t="str">
        <x:v>site/data/market-values.json (julkisen sivuston koneellisesti luettava lähdetiedosto)</x:v>
      </x:c>
      <x:c r="E11" s="14" t="str">
        <x:v>2026-07-27</x:v>
      </x:c>
      <x:c r="F11" s="14" t="str">
        <x:v>84 = 48 markkina- ja mallihavaintoa + 36 FHM-rakennelukua; 75 virallista = 39 markkinamittaria + 36 rakennelukua. Luokat pidetään erillään eikä niitä summata markkinaksi.</x:v>
      </x:c>
      <x:c r="G11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2026-07-27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93" customHeight="1">
      <x:c r="A15" s="14" t="str">
        <x:v>Uuden-Seelannin vuoden 2024 AIS/AVP-erikoisvähittäiskaupan tunnistettu sähkötupakkasumma on 274 180 410,21 NZD; donor-testi läpäisee 7/10 ehtoa, mutta maa ei ole hyväksytty donor.</x:v>
      </x:c>
      <x:c r="B15" s="14" t="str">
        <x:v>Markkinakoko</x:v>
      </x:c>
      <x:c r="C15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15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source/NZ_2024_D8_D10_OFFICIAL_SOURCE_AUDIT.md ; source/NZ_2024_WORKBOOK_MANIFEST.json ; source/NZ_2024_PRODUCT_SCOPE_AUDIT.json ; scripts/analyze_nz_2024_returns.py</x:v>
      </x:c>
      <x:c r="E15" s="14" t="str">
        <x:v>2026-07-27</x:v>
      </x:c>
      <x:c r="F15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15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15" s="14" t="str">
        <x:v>Tuettu</x:v>
      </x:c>
      <x:c r="I15" s="14" t="str">
        <x:v>D5 hylätään puuttuvan kansallisen kanavapeiton vuoksi; D8:n GST-perusta ja D10:n riippumaton täsmäytys ovat avoimia. Donor-portti pysyy 0/3:ssa.</x:v>
      </x:c>
    </x:row>
    <x:row r="16" ht="58.5" customHeight="1">
      <x:c r="A16" s="14" t="str">
        <x:v>Uuden-Seelannin erillinen vuoden 2024 RPS-vähittäisherkkyys on tuettu malli: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16" s="14" t="str">
        <x:v>2026-07-26</x:v>
      </x:c>
      <x:c r="F16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2026-07-26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site/data/third-donor-screen.json ; site/data/country-scenarios.json</x:v>
      </x:c>
      <x:c r="E19" s="14" t="str">
        <x:v>2026-07-27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virallinen vuoden 2024 kuluttajavähittäismyynnin piste-estimaatti on 1 219 160 000 CAD eli 822 583 715,21 EUR; donor-testi läpäisee 7/10 ehtoa.</x:v>
      </x:c>
      <x:c r="B21" s="14" t="str">
        <x:v>Markkinakoko</x:v>
      </x:c>
      <x:c r="C21" s="14" t="str">
        <x:v>Neljän kvartaalin summa on 1 219 160 000 CAD; 12 kuukauden samaan kyselyyn perustuva summa on 1 219 161 000 CAD. Health Canadan vuoden 2024 valmistaja-/maahantuojatoimitusten nettoarvo on 1 160 753 796,78 CAD.</x:v>
      </x:c>
      <x:c r="D21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source/CANADA_2024_D5_D7_D10_OFFICIAL_SOURCE_AUDIT.md</x:v>
      </x:c>
      <x:c r="E21" s="14" t="str">
        <x:v>2026-07-27</x:v>
      </x:c>
      <x:c r="F21" s="14" t="str">
        <x:v>Kuukausi − kvartaali = 1 000 CAD (0,000082 %). Retail − toimitukset = 58 406 203,22 CAD; retail / toimitukset − 1 = 5,031748 %. ECB 2024: 1 219 160 000 / 1,482110546875 = 822 583 715,21 EUR.</x:v>
      </x:c>
      <x:c r="G21" s="14" t="str">
        <x:v>D8 läpäisee: CAD sekä GST/HST-, provinssi- ja valmisteverojen poissulku on lähteistetty. Kuukausireitti on saman kyselyn QA, ei D10; retail- ja toimitusreitit eivät muodosta markkinahaarukkaa.</x:v>
      </x:c>
      <x:c r="H21" s="14" t="str">
        <x:v>Tuettu</x:v>
      </x:c>
      <x:c r="I21" s="14" t="str">
        <x:v>D5:n NAICS 459993/459999 -peitto, D7:n vuositason virheraja ja D10:n retail–toimitus-silta ovat avoimia; Kanada ei ole hyväksytty donor.</x:v>
      </x:c>
    </x:row>
    <x:row r="22" ht="58.5" customHeight="1">
      <x:c r="A22" s="14" t="str">
        <x:v>Health Canadan neljä vuoden 2024 tuoteryhmää summautuvat 1 160 753 796,78 CAD:n nettotoimitusarvoon, 118 901 910 yksikköön ja 1 251 843 litraan.</x:v>
      </x:c>
      <x:c r="B22" s="14" t="str">
        <x:v>Markkinakoko</x:v>
      </x:c>
      <x:c r="C22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2" s="14" t="str">
        <x:v>https://health-infobase.canada.ca/substance-use/vaping/sales/ ; https://laws-lois.justice.gc.ca/eng/regulations/SOR-2023-123/FullText.html ; source/CANADA_2024_DONOR_CLOSURE_PACK.md</x:v>
      </x:c>
      <x:c r="E22" s="14" t="str">
        <x:v>2026-07-25</x:v>
      </x:c>
      <x:c r="F22" s="14" t="str">
        <x:v>30 207 822,87 + 558 947 200,26 + 316 329 158,83 + 255 269 614,82 = 1 160 753 796,78 CAD; osuudet lasketaan tästä summasta.</x:v>
      </x:c>
      <x:c r="G22" s="14" t="str">
        <x:v>Nettomyynti on myynti vähennettynä palautuksilla ja arvot ilmoitetaan ilman veroja ja maksuja. Nestettä sisältävä laite tai osa yhdistää laite- ja neste-arvoa.</x:v>
      </x:c>
      <x:c r="H22" s="14" t="str">
        <x:v>Vahvistettu</x:v>
      </x:c>
      <x:c r="I22" s="14" t="str">
        <x:v>Toimitusosuuksia ei saa soveltaa retail-arvoon laite–neste-jaoksi eikä eri tapahtumatasoja summata.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Puolan virallinen sähkötupakkanesteiden virta oli 1 451 529 litraa vuonna 2020, 277 265 litraa vuonna 2021, 416 088 litraa vuonna 2022 ja 805 441 litraa vuonna 2023.</x:v>
      </x:c>
      <x:c r="B27" s="14" t="str">
        <x:v>Markkinakoko</x:v>
      </x:c>
      <x:c r="C27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27" s="14" t="str">
        <x:v>https://api.sejm.gov.pl/sejm/term10/interpellations/attachment/ATTDDEJZ5/i07255-o1.pdf</x:v>
      </x:c>
      <x:c r="E27" s="14" t="str">
        <x:v>2020–2023</x:v>
      </x:c>
      <x:c r="F27" s="14" t="str">
        <x:v>Neljän virallisen vuosihavainnon suora toisto; eri vuosia ei summata markkina-arvoksi.</x:v>
      </x:c>
      <x:c r="G27" s="14" t="str">
        <x:v>Julkaistu taulukko ei erittele kotimaan myyntiä, EU-sisäisiä hankintoja ja tuontia eikä sisällä laitteiden arvoa.</x:v>
      </x:c>
      <x:c r="H27" s="14" t="str">
        <x:v>Vahvistettu</x:v>
      </x:c>
      <x:c r="I27" s="14" t="str">
        <x:v>Tarvitaan kuluttajavähittäisarvo, kanavapeitto, veroperusta ja riippumaton täsmäytys.</x:v>
      </x:c>
    </x:row>
    <x:row r="28" ht="58.5" customHeight="1">
      <x:c r="A28" s="14" t="str">
        <x:v>Puolan vuoden 2025 verosilta antaa 4 382 500 johdettua verollista sähkötupakkalaitetta ja 62 500 johdettua verollista osasarjaa.</x:v>
      </x:c>
      <x:c r="B28" s="14" t="str">
        <x:v>Markkinakoko</x:v>
      </x:c>
      <x:c r="C28" s="14" t="str">
        <x:v>Virallinen parlamenttivastaus raportoi 993,1 milj. PLN e-nesteistä, 175,3 milj. PLN laitteista ja 2,5 milj. PLN osasarjoista. Laitteiden ja osasarjojen vero oli 40 PLN yksiköltä 1.7.2025 alkaen.</x:v>
      </x:c>
      <x:c r="D28" s="14" t="str">
        <x:v>https://api.sejm.gov.pl/sejm/term10/interpellations/attachment/ATTDVKHSJ/i17526-o1.pdf ; https://www.podatki.gov.pl/akcyza/stawki-podatkowe/</x:v>
      </x:c>
      <x:c r="E28" s="14" t="str">
        <x:v>2025</x:v>
      </x:c>
      <x:c r="F28" s="14" t="str">
        <x:v>175 300 000 / 40 = 4 382 500 verollista laitetta; 2 500 000 / 40 = 62 500 verollista osasarjaa.</x:v>
      </x:c>
      <x:c r="G28" s="14" t="str">
        <x:v>Johdettu veropohja kattaa vain 1.7.2025 alkaen verotetut laitteet ja osasarjat. Se ei osoita kuluttajahintaa, vähittäismyyntiä, verottomia määriä tai varastosiirtymiä.</x:v>
      </x:c>
      <x:c r="H28" s="14" t="str">
        <x:v>Tuettu</x:v>
      </x:c>
      <x:c r="I28" s="14" t="str">
        <x:v>Tarvitaan veron kuukausijakauma, lopullisuus, vähittäishinnat, kanavapeitto ja riippumaton täsmäytys.</x:v>
      </x:c>
    </x:row>
    <x:row r="29" ht="58.5" customHeight="1">
      <x:c r="A29" s="14" t="str">
        <x:v>Ruotsin julkinen evidenssi yhdistää vuoden 2024 veroankkurin ja 36 virallista FHM-rekisterirakenteen lukua vuosilta 2018–2026; rekisteriluvut eivät ole myyntiä tai markkina-arvoa.</x:v>
      </x:c>
      <x:c r="B29" s="14" t="str">
        <x:v>Markkinakoko</x:v>
      </x:c>
      <x:c r="C29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29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29" s="14" t="str">
        <x:v>2026-07-24</x:v>
      </x:c>
      <x:c r="F29" s="14" t="str">
        <x:v>36 = 9 vuotta (2018–2026) × 4 rekisterirakenteen mittaria. Veroankkuri, 39 markkinamittaria ja 36 rakennelukua pidetään erillään.</x:v>
      </x:c>
      <x:c r="G29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29" s="14" t="str">
        <x:v>Vahvistettu</x:v>
      </x:c>
      <x:c r="I29" s="14" t="str">
        <x:v>Tarvitaan toteutunut kuluttajamyynti EUR-määräisenä, laitekappaleet ja ml-määrät sekä julkisesti uudelleenkäytettävä numeerinen FHM-sarja.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2026-07-27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43488d06c34cc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2026.07.27-29</x:v>
      </x:c>
    </x:row>
    <x:row r="6" ht="20.25" customHeight="1">
      <x:c r="A6" s="29" t="str">
        <x:v>Päivitetty</x:v>
      </x:c>
      <x:c r="B6" s="14" t="str">
        <x:v>2026-07-27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28</x:v>
      </x:c>
    </x:row>
    <x:row r="12" ht="20.25" customHeight="1">
      <x:c r="A12" s="37" t="str">
        <x:v>Tuettu</x:v>
      </x:c>
      <x:c r="B12" s="14" t="n">
        <x:f>COUNTIF('Evidence Register'!$H$2:$H$54,A12)</x:f>
        <x:v>12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732723de12dc470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2026-07-27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2026-07-27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2026-07-27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2026-07-27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2026-07-27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2026-07-27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2026-07-27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2026-07-27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2026-07-27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2026-07-27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2026-07-27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2026-07-27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2026-07-27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2026-07-27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2026-07-27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2026-07-27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2026-07-27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2026-07-27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2026-07-27</x:v>
      </x:c>
    </x:row>
    <x:row r="72" ht="31.5" customHeight="1">
      <x:c r="A72" s="14" t="str">
        <x:v>REGISTER-REFERENCE-59446D8EB279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https://data-api.ecb.europa.eu/service/data/EXR/A.USD.EUR.SP00.A?startPeriod=2022&amp;endPeriod=2022&amp;format=csvdata</x:v>
      </x:c>
      <x:c r="E72" s="14" t="str">
        <x:v>2026-07-27</x:v>
      </x:c>
    </x:row>
    <x:row r="73" ht="31.5" customHeight="1">
      <x:c r="A73" s="14" t="str">
        <x:v>REGISTER-REFERENCE-BFB2E2E1B4A3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https://data-api.ecb.europa.eu/service/data/EXR/A.USD.EUR.SP00.A?startPeriod=2023&amp;endPeriod=2023&amp;format=csvdata</x:v>
      </x:c>
      <x:c r="E73" s="14" t="str">
        <x:v>2026-07-27</x:v>
      </x:c>
    </x:row>
    <x:row r="74" ht="31.5" customHeight="1">
      <x:c r="A74" s="14" t="str">
        <x:v>REGISTER-REFERENCE-D26C27B033B0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https://data-api.ecb.europa.eu/service/data/EXR/A.USD.EUR.SP00.A?startPeriod=2024&amp;endPeriod=2024&amp;format=csvdata</x:v>
      </x:c>
      <x:c r="E74" s="14" t="str">
        <x:v>2026-07-27</x:v>
      </x:c>
    </x:row>
    <x:row r="75" ht="31.5" customHeight="1">
      <x:c r="A75" s="14" t="str">
        <x:v>REGISTER-REFERENCE-32690599750D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https://data-api.ecb.europa.eu/service/data/EXR/A.USD.EUR.SP00.A?startPeriod=2025&amp;endPeriod=2025&amp;format=csvdata</x:v>
      </x:c>
      <x:c r="E75" s="14" t="str">
        <x:v>2026-07-27</x:v>
      </x:c>
    </x:row>
    <x:row r="76" ht="31.5" customHeight="1">
      <x:c r="A76" s="14" t="str">
        <x:v>REGISTER-REFERENCE-9B93C76EF890</x:v>
      </x:c>
      <x:c r="B76" s="14" t="str">
        <x:v>data.ecb.europa.eu</x:v>
      </x:c>
      <x:c r="C76" s="14" t="str">
        <x:v>register_reference</x:v>
      </x:c>
      <x:c r="D76" s="14" t="str">
        <x:v>https://data.ecb.europa.eu/data/datasets/exr/data-information</x:v>
      </x:c>
      <x:c r="E76" s="14" t="str">
        <x:v>2026-07-27</x:v>
      </x:c>
    </x:row>
    <x:row r="77" ht="31.5" customHeight="1">
      <x:c r="A77" s="14" t="str">
        <x:v>REGISTER-REFERENCE-2DA87527D51F</x:v>
      </x:c>
      <x:c r="B77" s="14" t="str">
        <x:v>datahelpdesk.worldbank.org</x:v>
      </x:c>
      <x:c r="C77" s="14" t="str">
        <x:v>register_reference</x:v>
      </x:c>
      <x:c r="D77" s="14" t="str">
        <x:v>https://datahelpdesk.worldbank.org/knowledgebase/articles/898581-api-basic-call-structures</x:v>
      </x:c>
      <x:c r="E77" s="14" t="str">
        <x:v>2026-07-27</x:v>
      </x:c>
    </x:row>
    <x:row r="78" ht="31.5" customHeight="1">
      <x:c r="A78" s="14" t="str">
        <x:v>REGISTER-REFERENCE-77110A089CB9</x:v>
      </x:c>
      <x:c r="B78" s="14" t="str">
        <x:v>laws-lois.justice.gc.ca</x:v>
      </x:c>
      <x:c r="C78" s="14" t="str">
        <x:v>register_reference</x:v>
      </x:c>
      <x:c r="D78" s="14" t="str">
        <x:v>https://laws-lois.justice.gc.ca/eng/regulations/SOR-2023-123/FullText.html</x:v>
      </x:c>
      <x:c r="E78" s="14" t="str">
        <x:v>2026-07-27</x:v>
      </x:c>
    </x:row>
    <x:row r="79" ht="31.5" customHeight="1">
      <x:c r="A79" s="14" t="str">
        <x:v>REGISTER-REFERENCE-50ED634F402A</x:v>
      </x:c>
      <x:c r="B79" s="14" t="str">
        <x:v>ecb.europa.eu</x:v>
      </x:c>
      <x:c r="C79" s="14" t="str">
        <x:v>register_reference</x:v>
      </x:c>
      <x:c r="D79" s="14" t="str">
        <x:v>https://www.ecb.europa.eu/stats/policy_and_exchange_rates/euro_reference_exchange_rates/html/index.en.html</x:v>
      </x:c>
      <x:c r="E79" s="14" t="str">
        <x:v>2026-07-27</x:v>
      </x:c>
    </x:row>
    <x:row r="80" ht="31.5" customHeight="1">
      <x:c r="A80" s="14" t="str">
        <x:v>SE-FHM-PUBLIC-RECORD-RESPONSE-2026-07-24</x:v>
      </x:c>
      <x:c r="B80" s="14" t="str">
        <x:v>Public Health Agency of Sweden</x:v>
      </x:c>
      <x:c r="C80" s="14" t="str">
        <x:v>official_reference</x:v>
      </x:c>
      <x:c r="D80" s="14" t="str">
        <x:v>https://www.folkhalsomyndigheten.se/regler-och-tillsyn/tobak-och-nikotinprodukter-regler-for-tillverkning-handel-och-hantering/elektroniska-cigaretter-och-pafyllningsbehallare-sa-foljer-du-reglerna/</x:v>
      </x:c>
      <x:c r="E80" s="14" t="str">
        <x:v>2026-07-27</x:v>
      </x:c>
    </x:row>
    <x:row r="81" ht="31.5" customHeight="1">
      <x:c r="A81" s="14" t="str">
        <x:v>US-FTC-E-CIGARETTE-REPORT-2015-2018</x:v>
      </x:c>
      <x:c r="B81" s="14" t="str">
        <x:v>Federal Trade Commission</x:v>
      </x:c>
      <x:c r="C81" s="14" t="str">
        <x:v>official_report</x:v>
      </x:c>
      <x:c r="D81" s="14" t="str">
        <x:v>https://www.ftc.gov/reports/e-cigarette-report-2015-2018</x:v>
      </x:c>
      <x:c r="E81" s="14" t="str">
        <x:v>2026-07-27</x:v>
      </x:c>
    </x:row>
    <x:row r="82" ht="31.5" customHeight="1">
      <x:c r="A82" s="14" t="str">
        <x:v>US-FTC-E-CIGARETTE-REPORT-2021</x:v>
      </x:c>
      <x:c r="B82" s="14" t="str">
        <x:v>Federal Trade Commission</x:v>
      </x:c>
      <x:c r="C82" s="14" t="str">
        <x:v>official_report</x:v>
      </x:c>
      <x:c r="D82" s="14" t="str">
        <x:v>https://www.ftc.gov/reports/e-cigarette-report-2021</x:v>
      </x:c>
      <x:c r="E82" s="14" t="str">
        <x:v>2026-07-27</x:v>
      </x:c>
    </x:row>
    <x:row r="83" ht="31.5" customHeight="1">
      <x:c r="A83" s="14" t="str">
        <x:v>REGISTER-REFERENCE-E034CF64F670</x:v>
      </x:c>
      <x:c r="B83" s="14" t="str">
        <x:v>health.govt.nz</x:v>
      </x:c>
      <x:c r="C83" s="14" t="str">
        <x:v>register_reference</x:v>
      </x:c>
      <x:c r="D83" s="14" t="str">
        <x:v>https://www.health.govt.nz/regulation-legislation/vaping-herbal-smoking-and-smokeless-tobacco/requirements/complete-a-notifiable-product-annual-return</x:v>
      </x:c>
      <x:c r="E83" s="14" t="str">
        <x:v>2026-07-27</x:v>
      </x:c>
    </x:row>
    <x:row r="84" ht="31.5" customHeight="1">
      <x:c r="A84" s="14" t="str">
        <x:v>REGISTER-REFERENCE-B5944DDC2320</x:v>
      </x:c>
      <x:c r="B84" s="14" t="str">
        <x:v>health.govt.nz</x:v>
      </x:c>
      <x:c r="C84" s="14" t="str">
        <x:v>register_reference</x:v>
      </x:c>
      <x:c r="D84" s="14" t="str">
        <x:v>https://www.health.govt.nz/system/files/2024-12/2024-annual-returns-user-guide.pdf</x:v>
      </x:c>
      <x:c r="E84" s="14" t="str">
        <x:v>2026-07-27</x:v>
      </x:c>
    </x:row>
    <x:row r="85" ht="31.5" customHeight="1">
      <x:c r="A85" s="14" t="str">
        <x:v>REGISTER-REFERENCE-7AD3E1157197</x:v>
      </x:c>
      <x:c r="B85" s="14" t="str">
        <x:v>podatki.gov.pl</x:v>
      </x:c>
      <x:c r="C85" s="14" t="str">
        <x:v>register_reference</x:v>
      </x:c>
      <x:c r="D85" s="14" t="str">
        <x:v>https://www.podatki.gov.pl/akcyza/stawki-podatkowe/</x:v>
      </x:c>
      <x:c r="E85" s="14" t="str">
        <x:v>2026-07-27</x:v>
      </x:c>
    </x:row>
    <x:row r="86" ht="31.5" customHeight="1">
      <x:c r="A86" s="14" t="str">
        <x:v>UN-MEMBER-STATES</x:v>
      </x:c>
      <x:c r="B86" s="14" t="str">
        <x:v>United Nations</x:v>
      </x:c>
      <x:c r="C86" s="14" t="str">
        <x:v>official_reference</x:v>
      </x:c>
      <x:c r="D86" s="14" t="str">
        <x:v>https://www.un.org/en/about-us/member-states</x:v>
      </x:c>
      <x:c r="E86" s="14" t="str">
        <x:v>2026-07-27</x:v>
      </x:c>
    </x:row>
    <x:row r="87" ht="31.5" customHeight="1">
      <x:c r="A87" s="14" t="str">
        <x:v>UN-NON-MEMBER-STATES</x:v>
      </x:c>
      <x:c r="B87" s="14" t="str">
        <x:v>United Nations</x:v>
      </x:c>
      <x:c r="C87" s="14" t="str">
        <x:v>official_reference</x:v>
      </x:c>
      <x:c r="D87" s="14" t="str">
        <x:v>https://www.un.org/en/about-us/non-member-states</x:v>
      </x:c>
      <x:c r="E87" s="14" t="str">
        <x:v>2026-07-27</x:v>
      </x:c>
    </x:row>
    <x:row r="88" ht="31.5" customHeight="1">
      <x:c r="A88" s="14" t="str">
        <x:v>REGISTER-REFERENCE-3332B0031C1D</x:v>
      </x:c>
      <x:c r="B88" s="14" t="str">
        <x:v>www150.statcan.gc.ca</x:v>
      </x:c>
      <x:c r="C88" s="14" t="str">
        <x:v>register_reference</x:v>
      </x:c>
      <x:c r="D88" s="14" t="str">
        <x:v>https://www150.statcan.gc.ca/t1/tbl1/en/tv.action?pid=2010007101</x:v>
      </x:c>
      <x:c r="E88" s="14" t="str">
        <x:v>2026-07-27</x:v>
      </x:c>
    </x:row>
    <x:row r="89" ht="31.5" customHeight="1">
      <x:c r="A89" s="15" t="str">
        <x:v>REGISTER-REFERENCE-D61AFC87FA19</x:v>
      </x:c>
      <x:c r="B89" s="15" t="str">
        <x:v>www150.statcan.gc.ca</x:v>
      </x:c>
      <x:c r="C89" s="15" t="str">
        <x:v>register_reference</x:v>
      </x:c>
      <x:c r="D89" s="15" t="str">
        <x:v>https://www150.statcan.gc.ca/t1/tbl1/en/tv.action?pid=2010008001</x:v>
      </x:c>
      <x:c r="E89" s="15" t="str">
        <x:v>2026-07-27</x:v>
      </x:c>
    </x:row>
  </x:sheetData>
  <x:pageMargins left="0.7" right="0.7" top="0.75" bottom="0.75" header="0.3" footer="0.3"/>
  <x:tableParts count="1">
    <x:tablePart xmlns:r="http://schemas.openxmlformats.org/officeDocument/2006/relationships" r:id="Reba89781e37b49a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b9f4daa69a84468c"/>
  </x:tableParts>
</x:worksheet>
</file>