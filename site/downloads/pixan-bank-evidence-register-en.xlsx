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5596d751ef74ca1" /></Relationships>
</file>

<file path=xl/workbook.xml><?xml version="1.0" encoding="utf-8"?>
<x:workbook xmlns:x="http://schemas.openxmlformats.org/spreadsheetml/2006/main">
  <x:sheets>
    <x:sheet xmlns:r="http://schemas.openxmlformats.org/officeDocument/2006/relationships" name="Evidence Register" sheetId="1" r:id="R49f7ab26fc4747f3"/>
    <x:sheet xmlns:r="http://schemas.openxmlformats.org/officeDocument/2006/relationships" name="Summary" sheetId="2" r:id="R1545f49e09ce4418"/>
    <x:sheet xmlns:r="http://schemas.openxmlformats.org/officeDocument/2006/relationships" name="Reviewer questions" sheetId="3" r:id="Rf7e8bdcdbb4e4d43"/>
    <x:sheet xmlns:r="http://schemas.openxmlformats.org/officeDocument/2006/relationships" name="Sources" sheetId="4" r:id="Rc862fb3dcdc44ed2"/>
    <x:sheet xmlns:r="http://schemas.openxmlformats.org/officeDocument/2006/relationships" name="EUR equivalents" sheetId="5" r:id="Ra8bac3986253482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00000000000"/>
  </x:numFmts>
  <x:fonts count="8">
    <x:font>
      <x:sz val="11"/>
      <x:name val="Carlito"/>
    </x:font>
    <x:font>
      <x:b/>
      <x:sz val="10"/>
      <x:color rgb="FFFFFFFF"/>
      <x:name val="Aptos"/>
    </x:font>
    <x:font>
      <x:sz val="9"/>
      <x:color rgb="FF182935"/>
      <x:name val="Aptos"/>
    </x:font>
    <x:font>
      <x:b/>
      <x:sz val="9"/>
      <x:color rgb="FF182935"/>
      <x:name val="Aptos"/>
    </x:font>
    <x:font>
      <x:b/>
      <x:sz val="22"/>
      <x:color rgb="FFFFFFFF"/>
      <x:name val="Aptos Display"/>
    </x:font>
    <x:font>
      <x:b/>
      <x:sz val="10"/>
      <x:color rgb="FF5B6B75"/>
      <x:name val="Aptos"/>
    </x:font>
    <x:font>
      <x:b/>
      <x:sz val="12"/>
      <x:color rgb="FFFFFFFF"/>
      <x:name val="Aptos"/>
    </x:font>
    <x:font>
      <x:b/>
      <x:sz val="10"/>
      <x:color rgb="FF182935"/>
      <x:name val="Aptos"/>
    </x:font>
  </x:fonts>
  <x:fills count="9">
    <x:fill>
      <x:patternFill patternType="none"/>
    </x:fill>
    <x:fill>
      <x:patternFill patternType="gray125"/>
    </x:fill>
    <x:fill>
      <x:patternFill patternType="solid">
        <x:fgColor rgb="FF071A2B"/>
      </x:patternFill>
    </x:fill>
    <x:fill>
      <x:patternFill patternType="solid">
        <x:fgColor rgb="FFE3F6F3"/>
      </x:patternFill>
    </x:fill>
    <x:fill>
      <x:patternFill patternType="solid">
        <x:fgColor rgb="FFFFF0CB"/>
      </x:patternFill>
    </x:fill>
    <x:fill>
      <x:patternFill patternType="solid">
        <x:fgColor rgb="FFEAF3F6"/>
      </x:patternFill>
    </x:fill>
    <x:fill>
      <x:patternFill patternType="solid">
        <x:fgColor rgb="FF0D5F86"/>
      </x:patternFill>
    </x:fill>
    <x:fill>
      <x:patternFill patternType="solid">
        <x:fgColor rgb="FFD9EDE7"/>
      </x:patternFill>
    </x:fill>
    <x:fill>
      <x:patternFill patternType="solid">
        <x:fgColor rgb="FFF8DADA"/>
      </x:patternFill>
    </x:fill>
  </x:fills>
  <x:borders count="6">
    <x:border/>
    <x:border>
      <x:bottom style="medium">
        <x:color rgb="FF00A4A6"/>
      </x:bottom>
    </x:border>
    <x:border>
      <x:bottom style="thin">
        <x:color rgb="FFCBD8DE"/>
      </x:bottom>
    </x:border>
    <x:border>
      <x:top style="thin">
        <x:color rgb="FFCBD8DE"/>
      </x:top>
      <x:bottom style="thin">
        <x:color rgb="FFCBD8DE"/>
      </x:bottom>
    </x:border>
    <x:border>
      <x:top style="thin">
        <x:color rgb="FFCBD8DE"/>
      </x:top>
    </x:border>
    <x:border>
      <x:bottom style="thin">
        <x:color rgb="FF00A4A6"/>
      </x:bottom>
    </x:border>
  </x:borders>
  <x:cellStyleXfs count="1">
    <x:xf numFmtId="0" fontId="0" fillId="0" borderId="0"/>
  </x:cellStyleXfs>
  <x:cellXfs count="4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2" fillId="0" borderId="0" xfId="0" applyNumberFormat="1" applyFont="1" applyFill="1" applyBorder="1"/>
    <x:xf numFmtId="0" fontId="2" fillId="0" borderId="2" xfId="0" applyNumberFormat="1" applyFont="1" applyFill="1" applyBorder="1"/>
    <x:xf numFmtId="0" fontId="2" fillId="0" borderId="3" xfId="0" applyNumberFormat="1" applyFont="1" applyFill="1" applyBorder="1"/>
    <x:xf numFmtId="0" fontId="2" fillId="0" borderId="4" xfId="0" applyNumberFormat="1" applyFont="1" applyFill="1" applyBorder="1"/>
    <x:xf numFmtId="0" fontId="2" fillId="0" borderId="2" xfId="0" applyNumberFormat="1" applyFont="1" applyFill="1" applyBorder="1" applyAlignment="1">
      <x:alignment wrapText="1"/>
    </x:xf>
    <x:xf numFmtId="0" fontId="2" fillId="0" borderId="3" xfId="0" applyNumberFormat="1" applyFont="1" applyFill="1" applyBorder="1" applyAlignment="1">
      <x:alignment wrapText="1"/>
    </x:xf>
    <x:xf numFmtId="0" fontId="2" fillId="0" borderId="4" xfId="0" applyNumberFormat="1" applyFont="1" applyFill="1" applyBorder="1" applyAlignment="1">
      <x:alignment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3" fillId="3" borderId="3" xfId="0" applyNumberFormat="1" applyFont="1" applyFill="1" applyBorder="1" applyAlignment="1">
      <x:alignment vertical="top" wrapText="1"/>
    </x:xf>
    <x:xf numFmtId="0" fontId="4" fillId="2" borderId="0" xfId="0" applyNumberFormat="1" applyFont="1" applyFill="1" applyBorder="1"/>
    <x:xf numFmtId="0" fontId="4" fillId="2" borderId="0" xfId="0" applyNumberFormat="1" applyFont="1" applyFill="1" applyBorder="1" applyAlignment="1">
      <x:alignment horizontal="left"/>
    </x:xf>
    <x:xf numFmtId="0" fontId="4" fillId="2" borderId="0"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3" fillId="4" borderId="5" xfId="0" applyNumberFormat="1" applyFont="1" applyFill="1" applyBorder="1"/>
    <x:xf numFmtId="0" fontId="3" fillId="4" borderId="5" xfId="0" applyNumberFormat="1" applyFont="1" applyFill="1" applyBorder="1" applyAlignment="1">
      <x:alignment wrapText="1"/>
    </x:xf>
    <x:xf numFmtId="0" fontId="3" fillId="4" borderId="5" xfId="0" applyNumberFormat="1" applyFont="1" applyFill="1" applyBorder="1" applyAlignment="1">
      <x:alignment vertical="center"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horizontal="left" wrapText="1"/>
    </x:xf>
    <x:xf numFmtId="0" fontId="0" fillId="6" borderId="0" xfId="0" applyNumberFormat="1" applyFont="1" applyFill="1" applyBorder="1"/>
    <x:xf numFmtId="0" fontId="6" fillId="6" borderId="0" xfId="0" applyNumberFormat="1" applyFont="1" applyFill="1" applyBorder="1"/>
    <x:xf numFmtId="0" fontId="2" fillId="7" borderId="2" xfId="0" applyNumberFormat="1" applyFont="1" applyFill="1" applyBorder="1" applyAlignment="1">
      <x:alignment vertical="top" wrapText="1"/>
    </x:xf>
    <x:xf numFmtId="0" fontId="2" fillId="5" borderId="3" xfId="0" applyNumberFormat="1" applyFont="1" applyFill="1" applyBorder="1" applyAlignment="1">
      <x:alignment vertical="top" wrapText="1"/>
    </x:xf>
    <x:xf numFmtId="0" fontId="2" fillId="4" borderId="3" xfId="0" applyNumberFormat="1" applyFont="1" applyFill="1" applyBorder="1" applyAlignment="1">
      <x:alignment vertical="top" wrapText="1"/>
    </x:xf>
    <x:xf numFmtId="0" fontId="2" fillId="8" borderId="4" xfId="0" applyNumberFormat="1" applyFont="1" applyFill="1" applyBorder="1" applyAlignment="1">
      <x:alignment vertical="top" wrapText="1"/>
    </x:xf>
    <x:xf numFmtId="0" fontId="7" fillId="7"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4" borderId="3" xfId="0" applyNumberFormat="1" applyFont="1" applyFill="1" applyBorder="1" applyAlignment="1">
      <x:alignment vertical="top" wrapText="1"/>
    </x:xf>
    <x:xf numFmtId="0" fontId="7" fillId="8" borderId="4" xfId="0" applyNumberFormat="1" applyFont="1" applyFill="1" applyBorder="1" applyAlignment="1">
      <x:alignment vertical="top" wrapText="1"/>
    </x:xf>
    <x:xf numFmtId="0" fontId="1" fillId="2" borderId="1" xfId="0" applyNumberFormat="1" applyFont="1" applyFill="1" applyBorder="1" applyAlignment="1">
      <x:alignment horizontal="left" vertical="center" wrapText="1"/>
    </x:xf>
    <x:xf numFmtId="0" fontId="2" fillId="0" borderId="2" xfId="0" applyNumberFormat="1" applyFont="1" applyFill="1" applyBorder="1" applyAlignment="1">
      <x:alignment horizontal="left" vertical="top" wrapText="1"/>
    </x:xf>
    <x:xf numFmtId="0" fontId="2" fillId="0" borderId="3" xfId="0" applyNumberFormat="1" applyFont="1" applyFill="1" applyBorder="1" applyAlignment="1">
      <x:alignment horizontal="left" vertical="top" wrapText="1"/>
    </x:xf>
    <x:xf numFmtId="0" fontId="2" fillId="0" borderId="4" xfId="0" applyNumberFormat="1" applyFont="1" applyFill="1" applyBorder="1" applyAlignment="1">
      <x:alignment horizontal="left" vertical="top" wrapText="1"/>
    </x:xf>
    <x:xf numFmtId="200" fontId="2" fillId="0" borderId="2" xfId="0" applyNumberFormat="1" applyFont="1" applyFill="1" applyBorder="1" applyAlignment="1">
      <x:alignment vertical="top" wrapText="1"/>
    </x:xf>
    <x:xf numFmtId="200" fontId="2" fillId="0" borderId="3" xfId="0" applyNumberFormat="1" applyFont="1" applyFill="1" applyBorder="1" applyAlignment="1">
      <x:alignment vertical="top" wrapText="1"/>
    </x:xf>
    <x:xf numFmtId="200" fontId="2" fillId="0" borderId="4" xfId="0" applyNumberFormat="1" applyFont="1" applyFill="1" applyBorder="1" applyAlignment="1">
      <x:alignment vertical="top" wrapText="1"/>
    </x:xf>
  </x:cellXfs>
  <x:cellStyles count="1">
    <x:cellStyle name="Normal" xfId="0"/>
  </x:cellStyles>
  <x:dxfs count="4">
    <x:dxf>
      <x:font>
        <x:b/>
        <x:color rgb="FF182935"/>
      </x:font>
      <x:fill>
        <x:patternFill patternType="solid">
          <x:bgColor rgb="FFD9EDE7"/>
        </x:patternFill>
      </x:fill>
    </x:dxf>
    <x:dxf>
      <x:font>
        <x:b/>
        <x:color rgb="FF182935"/>
      </x:font>
      <x:fill>
        <x:patternFill patternType="solid">
          <x:bgColor rgb="FFEAF3F6"/>
        </x:patternFill>
      </x:fill>
    </x:dxf>
    <x:dxf>
      <x:font>
        <x:b/>
        <x:color rgb="FF182935"/>
      </x:font>
      <x:fill>
        <x:patternFill patternType="solid">
          <x:bgColor rgb="FFFFF0CB"/>
        </x:patternFill>
      </x:fill>
    </x:dxf>
    <x:dxf>
      <x:font>
        <x:b/>
        <x:color rgb="FF182935"/>
      </x:font>
      <x:fill>
        <x:patternFill patternType="solid">
          <x:bgColor rgb="FFF8DAD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38b37048883435a" /><Relationship Type="http://schemas.openxmlformats.org/officeDocument/2006/relationships/theme" Target="/xl/theme/theme1.xml" Id="R5acee42700f54451" /><Relationship Type="http://schemas.openxmlformats.org/officeDocument/2006/relationships/sharedStrings" Target="/xl/sharedStrings.xml" Id="Rbe8cf8b0c44540f2" /><Relationship Type="http://schemas.openxmlformats.org/officeDocument/2006/relationships/worksheet" Target="/xl/worksheets/sheet1.xml" Id="R49f7ab26fc4747f3" /><Relationship Type="http://schemas.openxmlformats.org/officeDocument/2006/relationships/worksheet" Target="/xl/worksheets/sheet2.xml" Id="R1545f49e09ce4418" /><Relationship Type="http://schemas.openxmlformats.org/officeDocument/2006/relationships/worksheet" Target="/xl/worksheets/sheet3.xml" Id="Rf7e8bdcdbb4e4d43" /><Relationship Type="http://schemas.openxmlformats.org/officeDocument/2006/relationships/worksheet" Target="/xl/worksheets/sheet4.xml" Id="Rc862fb3dcdc44ed2" /><Relationship Type="http://schemas.openxmlformats.org/officeDocument/2006/relationships/worksheet" Target="/xl/worksheets/sheet5.xml" Id="Ra8bac39862534821" /></Relationships>
</file>

<file path=xl/tables/table1.xml><?xml version="1.0" encoding="utf-8"?>
<x:table xmlns:x="http://schemas.openxmlformats.org/spreadsheetml/2006/main" id="1" name="EvidenceRegisterEN" displayName="EvidenceRegisterEN" ref="A1:I55" headerRowCount="1" totalsRowCount="0" totalsRowShown="0">
  <x:autoFilter ref="A1:I55"/>
  <x:tableColumns count="9">
    <x:tableColumn id="1" name="Claim"/>
    <x:tableColumn id="2" name="Slide/section"/>
    <x:tableColumn id="3" name="Evidence"/>
    <x:tableColumn id="4" name="Source"/>
    <x:tableColumn id="5" name="Date"/>
    <x:tableColumn id="6" name="Calculation method"/>
    <x:tableColumn id="7" name="Assumptions"/>
    <x:tableColumn id="8" name="Confidence"/>
    <x:tableColumn id="9" name="Gaps / additional evidence needed"/>
  </x:tableColumns>
  <x:tableStyleInfo name="TableStyleMedium2" showFirstColumn="0" showLastColumn="0" showRowStripes="1" showColumnStripes="0"/>
</x:table>
</file>

<file path=xl/tables/table2.xml><?xml version="1.0" encoding="utf-8"?>
<x:table xmlns:x="http://schemas.openxmlformats.org/spreadsheetml/2006/main" id="2" name="ReviewerQuestionsEN" displayName="ReviewerQuestionsEN" ref="A1:D6" headerRowCount="1" totalsRowCount="0" totalsRowShown="0">
  <x:tableColumns count="4">
    <x:tableColumn id="1" name="Priority"/>
    <x:tableColumn id="2" name="Likely question"/>
    <x:tableColumn id="3" name="Required evidence"/>
    <x:tableColumn id="4" name="Current status"/>
  </x:tableColumns>
  <x:tableStyleInfo name="TableStyleMedium2" showFirstColumn="0" showLastColumn="0" showRowStripes="1" showColumnStripes="0"/>
</x:table>
</file>

<file path=xl/tables/table3.xml><?xml version="1.0" encoding="utf-8"?>
<x:table xmlns:x="http://schemas.openxmlformats.org/spreadsheetml/2006/main" id="3" name="SourcesEN" displayName="SourcesEN" ref="A1:E89" headerRowCount="1" totalsRowCount="0" totalsRowShown="0">
  <x:tableColumns count="5">
    <x:tableColumn id="1" name="Source ID"/>
    <x:tableColumn id="2" name="Publisher"/>
    <x:tableColumn id="3" name="Source class"/>
    <x:tableColumn id="4" name="URL"/>
    <x:tableColumn id="5" name="Retrieved / data as of"/>
  </x:tableColumns>
  <x:tableStyleInfo name="TableStyleMedium2" showFirstColumn="0" showLastColumn="0" showRowStripes="1" showColumnStripes="0"/>
</x:table>
</file>

<file path=xl/tables/table4.xml><?xml version="1.0" encoding="utf-8"?>
<x:table xmlns:x="http://schemas.openxmlformats.org/spreadsheetml/2006/main" id="4" name="EurEquivalentsEN" displayName="EurEquivalentsEN" ref="A1:N45" headerRowCount="1" totalsRowCount="0" totalsRowShown="0">
  <x:tableColumns count="14">
    <x:tableColumn id="1" name="Record type"/>
    <x:tableColumn id="2" name="Record ID"/>
    <x:tableColumn id="3" name="Item / component"/>
    <x:tableColumn id="4" name="Country / geography"/>
    <x:tableColumn id="5" name="Year"/>
    <x:tableColumn id="6" name="Period"/>
    <x:tableColumn id="7" name="Original amount"/>
    <x:tableColumn id="8" name="Currency"/>
    <x:tableColumn id="9" name="ECB rate (currency units / EUR)"/>
    <x:tableColumn id="10" name="EUR equivalent (full precision)"/>
    <x:tableColumn id="11" name="Rate ID"/>
    <x:tableColumn id="12" name="ECB source URL"/>
    <x:tableColumn id="13" name="Status"/>
    <x:tableColumn id="14" name="Reason / metho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c08f8d02c4e42d0" /></Relationships>
</file>

<file path=xl/worksheets/_rels/sheet3.xml.rels>&#65279;<?xml version="1.0" encoding="utf-8"?><Relationships xmlns="http://schemas.openxmlformats.org/package/2006/relationships"><Relationship Type="http://schemas.openxmlformats.org/officeDocument/2006/relationships/table" Target="/xl/tables/table2.xml" Id="R8624f172681e4db4" /></Relationships>
</file>

<file path=xl/worksheets/_rels/sheet4.xml.rels>&#65279;<?xml version="1.0" encoding="utf-8"?><Relationships xmlns="http://schemas.openxmlformats.org/package/2006/relationships"><Relationship Type="http://schemas.openxmlformats.org/officeDocument/2006/relationships/table" Target="/xl/tables/table3.xml" Id="R5230952edacc4016" /></Relationships>
</file>

<file path=xl/worksheets/_rels/sheet5.xml.rels>&#65279;<?xml version="1.0" encoding="utf-8"?><Relationships xmlns="http://schemas.openxmlformats.org/package/2006/relationships"><Relationship Type="http://schemas.openxmlformats.org/officeDocument/2006/relationships/table" Target="/xl/tables/table4.xml" Id="R11a75602b0ac42de" /></Relationships>
</file>

<file path=xl/worksheets/sheet1.xml><?xml version="1.0" encoding="utf-8"?>
<x:worksheet xmlns:x="http://schemas.openxmlformats.org/spreadsheetml/2006/main">
  <x:sheetViews>
    <x:sheetView showGridLines="0" workbookViewId="0"/>
  </x:sheetViews>
  <x:sheetFormatPr defaultRowHeight="15"/>
  <x:cols>
    <x:col min="1" max="1" width="36.66999816894531" hidden="0" customWidth="1"/>
    <x:col min="2" max="2" width="18.889999389648438" hidden="0" customWidth="1"/>
    <x:col min="3" max="3" width="43.33000183105469" hidden="0" customWidth="1"/>
    <x:col min="4" max="4" width="41.11000061035156" hidden="0" customWidth="1"/>
    <x:col min="5" max="5" width="12.779999732971191" hidden="0" customWidth="1"/>
    <x:col min="6" max="6" width="33.33000183105469" hidden="0" customWidth="1"/>
    <x:col min="7" max="7" width="33.33000183105469" hidden="0" customWidth="1"/>
    <x:col min="8" max="8" width="13.890000343322754" hidden="0" customWidth="1"/>
    <x:col min="9" max="9" width="43.33000183105469" hidden="0" customWidth="1"/>
  </x:cols>
  <x:sheetData>
    <x:row r="1" ht="33" customHeight="1">
      <x:c r="A1" s="5" t="str">
        <x:v>Claim</x:v>
      </x:c>
      <x:c r="B1" s="5" t="str">
        <x:v>Slide/section</x:v>
      </x:c>
      <x:c r="C1" s="5" t="str">
        <x:v>Evidence</x:v>
      </x:c>
      <x:c r="D1" s="5" t="str">
        <x:v>Source</x:v>
      </x:c>
      <x:c r="E1" s="5" t="str">
        <x:v>Date</x:v>
      </x:c>
      <x:c r="F1" s="5" t="str">
        <x:v>Calculation method</x:v>
      </x:c>
      <x:c r="G1" s="5" t="str">
        <x:v>Assumptions</x:v>
      </x:c>
      <x:c r="H1" s="5" t="str">
        <x:v>Confidence</x:v>
      </x:c>
      <x:c r="I1" s="5" t="str">
        <x:v>Gaps / additional evidence needed</x:v>
      </x:c>
    </x:row>
    <x:row r="2" ht="58.5" customHeight="1">
      <x:c r="A2" s="13" t="str">
        <x:v>Public register data records Pixan Oy as the proprietor.</x:v>
      </x:c>
      <x:c r="B2" s="13" t="str">
        <x:v>IP status</x:v>
      </x:c>
      <x:c r="C2" s="13" t="str">
        <x:v>The EPO main record records Pixan Oy as the proprietor.</x:v>
      </x:c>
      <x:c r="D2" s="13" t="str">
        <x:v>https://register.epo.org/application?number=EP14836345&amp;lng=en&amp;tab=main</x:v>
      </x:c>
      <x:c r="E2" s="13" t="str">
        <x:v>2026-07-24</x:v>
      </x:c>
      <x:c r="F2" s="13" t="str">
        <x:v>Direct observation from the register.</x:v>
      </x:c>
      <x:c r="G2" s="13" t="str">
        <x:v>The register reflects the public record on the review date.</x:v>
      </x:c>
      <x:c r="H2" s="13" t="str">
        <x:v>Confirmed</x:v>
      </x:c>
      <x:c r="I2" s="13" t="str">
        <x:v>The complete chain of title, deeds of assignment and possible encumbrances must be reviewed separately.</x:v>
      </x:c>
    </x:row>
    <x:row r="3" ht="58.5" customHeight="1">
      <x:c r="A3" s="14" t="str">
        <x:v>The earliest priority is FI20135829 dated 2013-08-14.</x:v>
      </x:c>
      <x:c r="B3" s="14" t="str">
        <x:v>IP status</x:v>
      </x:c>
      <x:c r="C3" s="14" t="str">
        <x:v>EPO record: FI20135829 · PCT/FI2014/050624 · WO2015022448 · EP3032975.</x:v>
      </x:c>
      <x:c r="D3" s="14" t="str">
        <x:v>https://register.epo.org/application?number=EP14836345&amp;lng=en&amp;tab=main ; https://register.epo.org/application?number=EP14836345&amp;lng=en&amp;tab=family</x:v>
      </x:c>
      <x:c r="E3" s="14" t="str">
        <x:v>2013-08-14</x:v>
      </x:c>
      <x:c r="F3" s="14" t="str">
        <x:v>Direct observation from the register.</x:v>
      </x:c>
      <x:c r="G3" s="14" t="str">
        <x:v>No assumptions.</x:v>
      </x:c>
      <x:c r="H3" s="14" t="str">
        <x:v>Confirmed</x:v>
      </x:c>
      <x:c r="I3" s="14" t="str">
        <x:v>No material gap for the priority claim.</x:v>
      </x:c>
    </x:row>
    <x:row r="4" ht="58.5" customHeight="1">
      <x:c r="A4" s="14" t="str">
        <x:v>The central EPO opposition and appeal proceedings concluded with the patent maintained in amended form.</x:v>
      </x:c>
      <x:c r="B4" s="14" t="str">
        <x:v>IP status</x:v>
      </x:c>
      <x:c r="C4" s="14" t="str">
        <x:v>Nicoventures Trading Limited filed an opposition on 28 February 2020; oral proceedings were held in July 2021 and an interlocutory decision was issued in August 2021; Pixan filed appeal T1818/21 in October 2021 and withdrew it on 11 December 2023; an amended nine-claim B2 was published on 24 April 2024.</x:v>
      </x:c>
      <x:c r="D4" s="14" t="str">
        <x:v>https://register.epo.org/application?number=EP14836345&amp;lng=en&amp;tab=event ; https://register.epo.org/application?number=EP14836345&amp;lng=en&amp;tab=doclist ; https://data.epo.org/publication-server/rest/v1.2/patents/EP3032975NWB1/document.pdf ; https://data.epo.org/publication-server/rest/v1.2/patents/EP3032975NWB2/document.pdf</x:v>
      </x:c>
      <x:c r="E4" s="14" t="str">
        <x:v>2024-04-24</x:v>
      </x:c>
      <x:c r="F4" s="14" t="str">
        <x:v>Cross-check of official event entries and the B2 publication.</x:v>
      </x:c>
      <x:c r="G4" s="14" t="str">
        <x:v>National validity and enforceability must be assessed separately.</x:v>
      </x:c>
      <x:c r="H4" s="14" t="str">
        <x:v>Confirmed</x:v>
      </x:c>
      <x:c r="I4" s="14" t="str">
        <x:v>Current status in each national register is still required.</x:v>
      </x:c>
    </x:row>
    <x:row r="5" ht="58.5" customHeight="1">
      <x:c r="A5" s="14" t="str">
        <x:v>The amended EP3032975B2 contains nine claims.</x:v>
      </x:c>
      <x:c r="B5" s="14" t="str">
        <x:v>Patented solution</x:v>
      </x:c>
      <x:c r="C5" s="14" t="str">
        <x:v>B1 contained 13 claims and B2 contains 9 claims. The independent controller and method claims use stored resistance–power values, measure resistance, determine power through a non-proportional relationship and permit user adjustment between a non-zero minimum and a stored maximum. This is a plain-language summary, not a legal claim construction.</x:v>
      </x:c>
      <x:c r="D5" s="14" t="str">
        <x:v>https://data.epo.org/publication-server/rest/v1.2/patents/EP3032975NWB2/document.pdf</x:v>
      </x:c>
      <x:c r="E5" s="14" t="str">
        <x:v>2024-04-24</x:v>
      </x:c>
      <x:c r="F5" s="14" t="str">
        <x:v>Claims counted directly from the B2 publication.</x:v>
      </x:c>
      <x:c r="G5" s="14" t="str">
        <x:v>The plain-language summary is not a legal claim construction.</x:v>
      </x:c>
      <x:c r="H5" s="14" t="str">
        <x:v>Confirmed</x:v>
      </x:c>
      <x:c r="I5" s="14" t="str">
        <x:v>Country-specific expert claim construction and product mapping are required.</x:v>
      </x:c>
    </x:row>
    <x:row r="6" ht="58.5" customHeight="1">
      <x:c r="A6" s="14" t="str">
        <x:v>The patent family contains 22 publication-based records.</x:v>
      </x:c>
      <x:c r="B6" s="14" t="str">
        <x:v>Geographic coverage</x:v>
      </x:c>
      <x:c r="C6" s="14" t="str">
        <x:v>The public family data gives familyRecordCount = 22.</x:v>
      </x:c>
      <x:c r="D6" s="14" t="str">
        <x:v>https://register.epo.org/application?number=EP14836345&amp;lng=en&amp;tab=family</x:v>
      </x:c>
      <x:c r="E6" s="14" t="str">
        <x:v>2026-07-24</x:v>
      </x:c>
      <x:c r="F6" s="14" t="str">
        <x:v>Count of EPO family publications; the count does not represent active rights.</x:v>
      </x:c>
      <x:c r="G6" s="14" t="str">
        <x:v>Each publication record is treated only as evidence of a family route.</x:v>
      </x:c>
      <x:c r="H6" s="14" t="str">
        <x:v>Supported</x:v>
      </x:c>
      <x:c r="I6" s="14" t="str">
        <x:v>Title, fee status, operative claims and legal status must be verified country by country.</x:v>
      </x:c>
    </x:row>
    <x:row r="7" ht="58.5" customHeight="1">
      <x:c r="A7" s="14" t="str">
        <x:v>The German nullity action was dismissed on 14 January 2026, and an appeal is pending.</x:v>
      </x:c>
      <x:c r="B7" s="14" t="str">
        <x:v>Legal evidence</x:v>
      </x:c>
      <x:c r="C7" s="14" t="str">
        <x:v>The judgment concerns the German part of EP3032975B2. The appeal is pending before the Federal Court of Justice under reference X ZR 21/26.</x:v>
      </x:c>
      <x:c r="D7" s="14" t="str">
        <x:v>https://www.rechtsprechung-im-internet.de/jportal/?quelle=jlink&amp;docid=JURE269032275&amp;psml=bsjrsprod.psml</x:v>
      </x:c>
      <x:c r="E7" s="14" t="str">
        <x:v>2026-01-14</x:v>
      </x:c>
      <x:c r="F7" s="14" t="str">
        <x:v>Direct reading of the official judgment entry and appeal reference.</x:v>
      </x:c>
      <x:c r="G7" s="14" t="str">
        <x:v>The conclusion is limited to the German part and the current procedural status.</x:v>
      </x:c>
      <x:c r="H7" s="14" t="str">
        <x:v>Confirmed</x:v>
      </x:c>
      <x:c r="I7" s="14" t="str">
        <x:v>Monitor the progress and outcome of the Federal Court of Justice appeal X ZR 21/26.</x:v>
      </x:c>
    </x:row>
    <x:row r="8" ht="58.5" customHeight="1">
      <x:c r="A8" s="14" t="str">
        <x:v>The Munich court found that the products examined in the case infringed claims 1 and 6.</x:v>
      </x:c>
      <x:c r="B8" s="14" t="str">
        <x:v>Legal evidence</x:v>
      </x:c>
      <x:c r="C8" s="14" t="str">
        <x:v>The decision records direct infringement of claims 1 and 6 and indirect infringement in relation to supplementary parts, together with remedies described in the decision.</x:v>
      </x:c>
      <x:c r="D8" s="14" t="str">
        <x:v>https://www.gesetze-bayern.de/Content/Document/Y-300-Z-BECKRS-B-2026-N-14206</x:v>
      </x:c>
      <x:c r="E8" s="14" t="str">
        <x:v>2026-04-02</x:v>
      </x:c>
      <x:c r="F8" s="14" t="str">
        <x:v>Direct reading of the limited description of the official decision.</x:v>
      </x:c>
      <x:c r="G8" s="14" t="str">
        <x:v>The finding is not generalised beyond the products, parties, claims and period examined.</x:v>
      </x:c>
      <x:c r="H8" s="14" t="str">
        <x:v>Confirmed</x:v>
      </x:c>
      <x:c r="I8" s="14" t="str">
        <x:v>Appeal status, finality, enforcement and any damages actually paid remain to be verified.</x:v>
      </x:c>
    </x:row>
    <x:row r="9" ht="58.5" customHeight="1">
      <x:c r="A9" s="14" t="str">
        <x:v>The identified Chinese matter is an applicant-side re-examination, not infringement litigation.</x:v>
      </x:c>
      <x:c r="B9" s="14" t="str">
        <x:v>Legal evidence</x:v>
      </x:c>
      <x:c r="C9" s="14" t="str">
        <x:v>The RPX entry describes review of a rejected application rather than an infringement action or adversarial invalidity dispute. The applicant name Pixon Limited / 皮克森有限公司 is strongly consistent with the Chinese rendering used for Pixan, but the official decision was not retrieved. CN105764365B was later granted on 4 May 2021.</x:v>
      </x:c>
      <x:c r="D9" s="14" t="str">
        <x:v>https://litigation.rpxcorp.com/china/prb/5153434-picsen-company-v-pixan-oy-of-365 ; https://www.cnipa.gov.cn/art/2020/6/5/art_1517_92474.html ; https://register.epo.org/application?number=EP14836345&amp;lng=en&amp;tab=family</x:v>
      </x:c>
      <x:c r="E9" s="14" t="str">
        <x:v>2020-08-24</x:v>
      </x:c>
      <x:c r="F9" s="14" t="str">
        <x:v>Classification of the secondary docket entry against official procedural guidance.</x:v>
      </x:c>
      <x:c r="G9" s="14" t="str">
        <x:v>The name correspondence is strong, but the official decision is unavailable in the reviewed material.</x:v>
      </x:c>
      <x:c r="H9" s="14" t="str">
        <x:v>Supported</x:v>
      </x:c>
      <x:c r="I9" s="14" t="str">
        <x:v>The official CNIPA decision and its reasoning are required.</x:v>
      </x:c>
    </x:row>
    <x:row r="10" ht="58.5" customHeight="1">
      <x:c r="A10" s="14" t="str">
        <x:v>The public 195-country open base contains 578 observed World Bank records; it contains zero vaping retail-sales observations.</x:v>
      </x:c>
      <x:c r="B10" s="14" t="str">
        <x:v>Market scope</x:v>
      </x:c>
      <x:c r="C10" s="14" t="str">
        <x:v>Population and population ages 15–64 each cover 194/195 countries. GDP per capita covers 190/195 countries, and all 190 observations have a EUR equivalent calculated with the ECB rate for the same source year. WHO and UN Comtrade routes are queued and missing for 195/195 countries, not zero.</x:v>
      </x:c>
      <x:c r="D10" s="14" t="str">
        <x:v>site/data/global-base-layer.json ; site/data/global-base-layer.csv ; https://datahelpdesk.worldbank.org/knowledgebase/articles/898581-api-basic-call-structures ; https://www.un.org/en/about-us/member-states ; https://www.un.org/en/about-us/non-member-states</x:v>
      </x:c>
      <x:c r="E10" s="14" t="str">
        <x:v>2026-07-27</x:v>
      </x:c>
      <x:c r="F10" s="14" t="str">
        <x:v>For each World Bank series, the latest non-null observation from 2020–2024 is selected and its real source year is retained. USD per person is divided only by the ECB rate for that same source year.</x:v>
      </x:c>
      <x:c r="G10" s="14" t="str">
        <x:v>Population, GDP, user prevalence and trade flows are context or proxy measures, not vaping sales values.</x:v>
      </x:c>
      <x:c r="H10" s="14" t="str">
        <x:v>Confirmed</x:v>
      </x:c>
      <x:c r="I10" s="14" t="str">
        <x:v>Annual country device and e-liquid sales values, numeric WHO extraction and validation of the UN Comtrade classification remain missing.</x:v>
      </x:c>
    </x:row>
    <x:row r="11" ht="58.5" customHeight="1">
      <x:c r="A11" s="14" t="str">
        <x:v>The 195-country method control separates 23 reviewed country plans, 5 reviewed source leads, 15 regional EU TPD reporting patterns and 152 country-unscoped proxy routes.</x:v>
      </x:c>
      <x:c r="B11" s="14" t="str">
        <x:v>Market scope</x:v>
      </x:c>
      <x:c r="C11" s="14" t="str">
        <x:v>Every country has a visible method class, next evidence action and provenance basis. Classification is not a sales observation: all 195 countries in the 195-country universe have eligibleForGlobalRollup=false and donorAccepted=false.</x:v>
      </x:c>
      <x:c r="D11" s="14" t="str">
        <x:v>site/data/global-base-layer.json ; source/country-method-route-config.json ; source/COUNTRY_METHOD_ROUTE_MAP.md</x:v>
      </x:c>
      <x:c r="E11" s="14" t="str">
        <x:v>2026-07-27</x:v>
      </x:c>
      <x:c r="F11" s="14" t="str">
        <x:v>195 = 23 reviewed_method_plan + 5 reviewed_source_lead + 15 regional_tpd_pattern_only + 152 proxy_only_unscoped.</x:v>
      </x:c>
      <x:c r="G11" s="14" t="str">
        <x:v>Across 195 countries, only 23 have a reviewed country-specific method plan. Five source leads and 15 regional TPD patterns do not establish a national sales series; 152 routes still require country-specific scoping.</x:v>
      </x:c>
      <x:c r="H11" s="14" t="str">
        <x:v>Confirmed</x:v>
      </x:c>
      <x:c r="I11" s="14" t="str">
        <x:v>No method class replaces annual device and e-liquid sales value, tax basis, channel coverage or D1–D10 acceptance.</x:v>
      </x:c>
    </x:row>
    <x:row r="12" ht="58.5" customHeight="1">
      <x:c r="A12" s="14" t="str">
        <x:v>The public market dataset contains 84 observations from 24 sources; its 75 official observations split into 39 market measures and 36 Swedish FHM register-structure counts.</x:v>
      </x:c>
      <x:c r="B12" s="14" t="str">
        <x:v>Market size</x:v>
      </x:c>
      <x:c r="C12" s="14" t="str">
        <x:v>The market measures cover Canada, Germany, Finland, New Zealand, Poland, Sweden and the United States. The FHM counts describe reporting entities and notified, active and withdrawn products for 2018–2026; they are not sales or market value.</x:v>
      </x:c>
      <x:c r="D12" s="14" t="str">
        <x:v>site/data/market-values.json (machine-readable source file of the public site)</x:v>
      </x:c>
      <x:c r="E12" s="14" t="str">
        <x:v>2026-07-27</x:v>
      </x:c>
      <x:c r="F12" s="14" t="str">
        <x:v>84 = 48 market and model observations + 36 FHM structure counts; 75 official = 39 market measures + 36 structure counts. The roles remain separate and are not summed into a market.</x:v>
      </x:c>
      <x:c r="G12" s="14" t="str">
        <x:v>The 2018–2025 figures are authority-supplied year labels, not assumed calendar-year flows or year-end snapshots. The 2026 FHM records are a current snapshot, not a completed annual period. Official sourcing does not make unlike metrics comparable.</x:v>
      </x:c>
      <x:c r="H12" s="14" t="str">
        <x:v>Confirmed</x:v>
      </x:c>
      <x:c r="I12" s="14" t="str">
        <x:v>Comparable annual device and liquid consumer-retail-value series are required from additional countries.</x:v>
      </x:c>
    </x:row>
    <x:row r="13" ht="58.5" customHeight="1">
      <x:c r="A13" s="14" t="str">
        <x:v>There are zero accepted full-year national consumer-retail-value donor markets.</x:v>
      </x:c>
      <x:c r="B13" s="14" t="str">
        <x:v>Market size</x:v>
      </x:c>
      <x:c r="C13" s="14" t="str">
        <x:v>comparableFullYearMarketValueDonors = 0. Five candidate tests are published against the same ten-criterion protocol.</x:v>
      </x:c>
      <x:c r="D13" s="14" t="str">
        <x:v>site/data/market-values.json (modelReadiness, donorProtocol and donorCandidates)</x:v>
      </x:c>
      <x:c r="E13" s="14" t="str">
        <x:v>2026-07-27</x:v>
      </x:c>
      <x:c r="F13" s="14" t="str">
        <x:v>A candidate enters the donor count only when D1–D10 all pass; a failed or open criterion keeps it outside the count.</x:v>
      </x:c>
      <x:c r="G13" s="14" t="str">
        <x:v>Official lower bounds, institutional benchmarks, shipment values, tax receipts, physical volumes and models are not relabelled as complete consumer-retail value.</x:v>
      </x:c>
      <x:c r="H13" s="14" t="str">
        <x:v>Confirmed</x:v>
      </x:c>
      <x:c r="I13" s="14" t="str">
        <x:v>At least three accepted donors are required, with regional and regulatory-archetype coverage.</x:v>
      </x:c>
    </x:row>
    <x:row r="14" ht="58.5" customHeight="1">
      <x:c r="A14" s="14" t="str">
        <x:v>New Zealand's 2024 specialist-vape-retailer sales were reported as at least NZD 280 million.</x:v>
      </x:c>
      <x:c r="B14" s="14" t="str">
        <x:v>Market size</x:v>
      </x:c>
      <x:c r="C14" s="14" t="str">
        <x:v>The Ministry of Health publishes an official consumer-retail lower bound based only on incomplete specialist-vape-retailer sales. General retail is outside the figure, adjacent notifiable products are included and the Ministry does not recommend the data for in-depth research.</x:v>
      </x:c>
      <x:c r="D14" s="14" t="str">
        <x:v>https://www.health.govt.nz/regulation-legislation/vaping-herbal-smoking-and-smokeless-tobacco/requirements/complete-a-notifiable-product-annual-return/annual-returns-2024</x:v>
      </x:c>
      <x:c r="E14" s="14" t="str">
        <x:v>2024</x:v>
      </x:c>
      <x:c r="F14" s="14" t="str">
        <x:v>Direct use of the official at-least headline; no extrapolation and no addition of other return types.</x:v>
      </x:c>
      <x:c r="G14" s="14" t="str">
        <x:v>The figure is a lower bound, not a complete national vaping-market value.</x:v>
      </x:c>
      <x:c r="H14" s="14" t="str">
        <x:v>Confirmed</x:v>
      </x:c>
      <x:c r="I14" s="14" t="str">
        <x:v>Obtain a complete national vaping-only retailer aggregate, GST basis and independent reconciliation.</x:v>
      </x:c>
    </x:row>
    <x:row r="15" ht="58.5" customHeight="1">
      <x:c r="A15" s="14" t="str">
        <x:v>The raw sum of 612,765 numeric Total sales cells across New Zealand's 29 official 2024 XLSX files is NZD 280,684,512.81.</x:v>
      </x:c>
      <x:c r="B15" s="14" t="str">
        <x:v>Market size</x:v>
      </x:c>
      <x:c r="C15" s="14" t="str">
        <x:v>The raw sum reconciles to the Ministry's at-least NZD 280 million headline. The files contain 95,144 exact repeated row signatures; removing occurrences after the first would produce NZD 264,561,055.05, but repeat semantics are unverified.</x:v>
      </x:c>
      <x:c r="D15" s="14" t="str">
        <x:v>https://www.health.govt.nz/regulation-legislation/vaping-herbal-smoking-and-smokeless-tobacco/requirements/complete-a-notifiable-product-annual-return/annual-returns-2024 ; source/NZ_2024_ANNUAL_RETURNS_RECONCILIATION.md</x:v>
      </x:c>
      <x:c r="E15" s="14" t="str">
        <x:v>2026-07-24</x:v>
      </x:c>
      <x:c r="F15" s="14" t="str">
        <x:v>Direct sum of the numeric Total sales cells in all 29 official XLSX files; no de-duplication, cleaning or extrapolation.</x:v>
      </x:c>
      <x:c r="G15" s="14" t="str">
        <x:v>Repeated rows remain in the raw sum because their business meaning is unknown.</x:v>
      </x:c>
      <x:c r="H15" s="14" t="str">
        <x:v>Supported</x:v>
      </x:c>
      <x:c r="I15" s="14" t="str">
        <x:v>The raw sum is not a cleaned national market value. General retail, missing returns and GST treatment remain unresolved.</x:v>
      </x:c>
    </x:row>
    <x:row r="16" ht="93" customHeight="1">
      <x:c r="A16" s="14" t="str">
        <x:v>New Zealand's 2024 AIS/AVP specialist-retailer identified-vaping subtotal is NZD 274,180,410.21; the donor test passes 7/10 criteria, but New Zealand is not an accepted donor.</x:v>
      </x:c>
      <x:c r="B16" s="14" t="str">
        <x:v>Market size</x:v>
      </x:c>
      <x:c r="C16" s="14" t="str">
        <x:v>Consumables are NZD 189,402,451.96, devices/hardware NZD 84,709,409.85 and mixed systems NZD 68,548.40. Adjacent notifiable products of NZD 2,137,085.24 and unresolved product types of NZD 4,367,017.37 are separately quantified and excluded. All observed value comes from AIS/AVP workbooks; no Notifier or RPS value is added.</x:v>
      </x:c>
      <x:c r="D16" s="14" t="str">
        <x:v>https://www.health.govt.nz/regulation-legislation/vaping-herbal-smoking-and-smokeless-tobacco/requirements/complete-a-notifiable-product-annual-return/annual-returns-2024 ; https://www.health.govt.nz/regulation-legislation/vaping-herbal-smoking-and-smokeless-tobacco/requirements/complete-a-notifiable-product-annual-return ; https://www.health.govt.nz/system/files/2024-12/2024-annual-returns-user-guide.pdf ; source/NZ_2024_DONOR_CLOSURE_PACK.md ; source/NZ_2024_D8_D10_OFFICIAL_SOURCE_AUDIT.md ; source/NZ_2024_WORKBOOK_MANIFEST.json ; source/NZ_2024_PRODUCT_SCOPE_AUDIT.json ; scripts/analyze_nz_2024_returns.py</x:v>
      </x:c>
      <x:c r="E16" s="14" t="str">
        <x:v>2026-07-27</x:v>
      </x:c>
      <x:c r="F16" s="17" t="str">
        <x:v>NZD 189,402,451.96 + 84,709,409.85 + 68,548.40 = NZD 274,180,410.21. Adjacent and unresolved classes are applied before the vaping subtotal and excluded. URLs, byte sizes and SHA-256 hashes for all 29 files are validated before aggregation.</x:v>
      </x:c>
      <x:c r="G16" s="14" t="str">
        <x:v>The deterministic scope rules are public. Observed general-retail value is absent, the GST basis is unknown, exact-row-deduplication sensitivity is not a corrected estimate and no independent reconciliation has passed.</x:v>
      </x:c>
      <x:c r="H16" s="14" t="str">
        <x:v>Supported</x:v>
      </x:c>
      <x:c r="I16" s="14" t="str">
        <x:v>D5 fails for missing national channel coverage; D8 GST basis and D10 independent reconciliation remain open. The donor gate remains 0/3.</x:v>
      </x:c>
    </x:row>
    <x:row r="17" ht="58.5" customHeight="1">
      <x:c r="A17" s="14" t="str">
        <x:v>New Zealand's separate supported 2024 RPS retail-sensitivity model is NZD 533,662,383.68–731,175,792.50, with a base case of NZD 641,811,687.89.</x:v>
      </x:c>
      <x:c r="B17" s="14" t="str">
        <x:v>Market size</x:v>
      </x:c>
      <x:c r="C17" s="14" t="str">
        <x:v>The combined low, base and high cases are NZD 533,662,383.68 / 641,811,687.89 / 731,175,792.50. The model combines the specialist-retailer anchor with a general-retailer quantity-and-price model.</x:v>
      </x:c>
      <x:c r="D17" s="14" t="str">
        <x:v>https://www.health.govt.nz/regulation-legislation/vaping-herbal-smoking-and-smokeless-tobacco/requirements/complete-a-notifiable-product-annual-return/annual-returns-2024 ; source/NZ_2024_RPS_RETAIL_VALUE_SENSITIVITY.md ; source/NZ_2024_DONOR_CLOSURE_PACK.md</x:v>
      </x:c>
      <x:c r="E17" s="14" t="str">
        <x:v>2026-07-26</x:v>
      </x:c>
      <x:c r="F17" s="14" t="str">
        <x:v>Low (exact-row deduplication): NZD 258,327,110.88 + 275,335,272.80 = 533,662,383.68. Base (reported/raw rows): NZD 274,180,410.21 + 367,631,277.68 = 641,811,687.89. High (reported/raw rows): NZD 274,180,410.21 + 456,995,382.29 = 731,175,792.50.</x:v>
      </x:c>
      <x:c r="G17" s="14" t="str">
        <x:v>GST treatment, return completeness and independent reconciliation are open; notifier supply-stage values are excluded.</x:v>
      </x:c>
      <x:c r="H17" s="14" t="str">
        <x:v>Supported</x:v>
      </x:c>
      <x:c r="I17" s="14" t="str">
        <x:v>Not an observed national value or accepted donor. Authority confirmation of scope and GST plus independent reproduction are required.</x:v>
      </x:c>
    </x:row>
    <x:row r="18" ht="58.5" customHeight="1">
      <x:c r="A18" s="14" t="str">
        <x:v>The new numerical reconstruction from the six official 2023 workbooks is intentionally not computed.</x:v>
      </x:c>
      <x:c r="B18" s="14" t="str">
        <x:v>Market size</x:v>
      </x:c>
      <x:c r="C18" s="14" t="str">
        <x:v>The Ministry's published aggregate is at least NZD 374 million and 2,570 returns. It covers all notifiable products, including heated tobacco, and the Ministry warns about data quality.</x:v>
      </x:c>
      <x:c r="D18" s="14" t="str">
        <x:v>https://www.health.govt.nz/regulation-legislation/vaping-herbal-smoking-and-smokeless-tobacco/requirements/complete-a-notifiable-product-annual-return/annual-returns-2023 ; source/NZ_2023_ANNUAL_RETURNS_FAIL_CLOSED.md</x:v>
      </x:c>
      <x:c r="E18" s="14" t="str">
        <x:v>2026-07-26</x:v>
      </x:c>
      <x:c r="F18" s="14" t="str">
        <x:v>Six official files are integrity-hashed; every new computation returns not_computed.</x:v>
      </x:c>
      <x:c r="G18" s="14" t="str">
        <x:v>Product scope, quantity fields, duplication, supply-chain level, tax basis and independent reconciliation remain unresolved.</x:v>
      </x:c>
      <x:c r="H18" s="14" t="str">
        <x:v>Confirmed</x:v>
      </x:c>
      <x:c r="I18" s="14" t="str">
        <x:v>A new 2023 vaping-only value is missing, and NZD 374 million must not be relabelled as a pure vaping market.</x:v>
      </x:c>
    </x:row>
    <x:row r="19" ht="58.5" customHeight="1">
      <x:c r="A19" s="14" t="str">
        <x:v>Official FTC tables yield USD 2,763,284,338 of reported cartridge-system-plus-disposable sales in 2021.</x:v>
      </x:c>
      <x:c r="B19" s="14" t="str">
        <x:v>Market size</x:v>
      </x:c>
      <x:c r="C19" s="14" t="str">
        <x:v>The seven-year 2015–2021 series sums the cartridge-system and disposable rows annually. The corrected 2020 table covers five prior recipients plus three of four new recipients; 2021 covers all nine recipients.</x:v>
      </x:c>
      <x:c r="D19" s="14" t="str">
        <x:v>https://www.ftc.gov/reports/e-cigarette-report-2015-2018 ; https://www.ftc.gov/reports/e-cigarette-report-2021 ; source/US_FTC_2015_2021_REPORTED_SALES.md</x:v>
      </x:c>
      <x:c r="E19" s="14" t="str">
        <x:v>2021</x:v>
      </x:c>
      <x:c r="F19" s="14" t="str">
        <x:v>Annual sum of FTC-table cartridge systems + disposable e-cigarette sales.</x:v>
      </x:c>
      <x:c r="G19" s="14" t="str">
        <x:v>The reporting population changes, open-system products are excluded, the level is manufacturer reporting and the tax basis is unstated.</x:v>
      </x:c>
      <x:c r="H19" s="14" t="str">
        <x:v>Supported</x:v>
      </x:c>
      <x:c r="I19" s="14" t="str">
        <x:v>Not complete national consumer-retail value or an accepted donor; an open POS or consumer-sales series and tax basis are required.</x:v>
      </x:c>
    </x:row>
    <x:row r="20" ht="58.5" customHeight="1">
      <x:c r="A20" s="14" t="str">
        <x:v>The public site separates three evidence lanes and blocks a global total while the accepted-donor gate is 0/3.</x:v>
      </x:c>
      <x:c r="B20" s="14" t="str">
        <x:v>Market size</x:v>
      </x:c>
      <x:c r="C20" s="14" t="str">
        <x:v>Five candidates are assessed against the same ten D1–D10 criteria; none is accepted. The regional and regulatory-archetype coverage gates must also pass.</x:v>
      </x:c>
      <x:c r="D20" s="14" t="str">
        <x:v>site/data/evidence-lanes.json ; site/data/donor-cockpit.json ; site/data/third-donor-screen.json ; site/data/country-scenarios.json</x:v>
      </x:c>
      <x:c r="E20" s="14" t="str">
        <x:v>2026-07-27</x:v>
      </x:c>
      <x:c r="F20" s="14" t="str">
        <x:v>Fail-closed gates: a missing or invalid input returns not_computed rather than zero.</x:v>
      </x:c>
      <x:c r="G20" s="14" t="str">
        <x:v>Only reviewed public aggregates and methods enter the public lane; licensed and private material do not enter the repository.</x:v>
      </x:c>
      <x:c r="H20" s="14" t="str">
        <x:v>Confirmed</x:v>
      </x:c>
      <x:c r="I20" s="14" t="str">
        <x:v>The global value remains uncomputed until at least three donors and both coverage gates are accepted.</x:v>
      </x:c>
    </x:row>
    <x:row r="21" ht="58.5" customHeight="1">
      <x:c r="A21" s="14" t="str">
        <x:v>The European Commission publishes a EUR 4.99 billion benchmark for the 2023 EU e-cigarette market.</x:v>
      </x:c>
      <x:c r="B21" s="14" t="str">
        <x:v>Market size</x:v>
      </x:c>
      <x:c r="C21" s="14" t="str">
        <x:v>Footnote 83 on physical PDF page 25 of SWD(2026) 111 identifies Euromonitor International Tobacco 2025 as the source for the following tables; Table 4 on physical page 27 reports EUR 4.99 billion. Physical page 161 of SWD(2025) 560 describes a nearly EUR 5 billion aggregate covering devices and liquids, including nicotine-free products; page 162 states that data are unavailable for Cyprus, Luxembourg and Malta.</x:v>
      </x:c>
      <x:c r="D21" s="14" t="str">
        <x:v>https://eur-lex.europa.eu/legal-content/EN/TXT/?uri=SWD%3A2026%3A111%3AFIN ; https://eur-lex.europa.eu/legal-content/EN/TXT/?uri=SWD%3A2025%3A0560%3AFIN</x:v>
      </x:c>
      <x:c r="E21" s="14" t="str">
        <x:v>2023</x:v>
      </x:c>
      <x:c r="F21" s="14" t="str">
        <x:v>Cross-document comparison of the table, page and source references in two European Commission staff working documents; the figures are not summed.</x:v>
      </x:c>
      <x:c r="G21" s="14" t="str">
        <x:v>The Commission publishes the benchmark, but its basis is commercial Euromonitor data. The full method, tax basis and reusable country dataset are not public, and three EU countries lack data.</x:v>
      </x:c>
      <x:c r="H21" s="14" t="str">
        <x:v>Supported</x:v>
      </x:c>
      <x:c r="I21" s="14" t="str">
        <x:v>Acquire the licensed country table and method, transaction definition, channel coverage, tax basis and an independent reconciliation; complete Cyprus, Luxembourg and Malta.</x:v>
      </x:c>
    </x:row>
    <x:row r="22" ht="58.5" customHeight="1">
      <x:c r="A22" s="14" t="str">
        <x:v>Canada's official 2024 consumer-retail point estimate is CAD 1,219,160,000, or EUR 822,583,715.21; the donor test passes 7/10 criteria.</x:v>
      </x:c>
      <x:c r="B22" s="14" t="str">
        <x:v>Market size</x:v>
      </x:c>
      <x:c r="C22" s="14" t="str">
        <x:v>The four-quarter sum is CAD 1,219,160,000; the same-survey sum of 12 months is CAD 1,219,161,000. Health Canada's 2024 manufacturer/importer net shipment value is CAD 1,160,753,796.78.</x:v>
      </x:c>
      <x:c r="D22" s="14" t="str">
        <x:v>https://www150.statcan.gc.ca/t1/tbl1/en/tv.action?pid=2010007101 ; https://www150.statcan.gc.ca/t1/tbl1/en/tv.action?pid=2010008001 ; https://health-infobase.canada.ca/substance-use/vaping/sales/ ; source/CANADA_2024_DONOR_CLOSURE_PACK.md ; source/CANADA_2024_D5_D7_D10_OFFICIAL_SOURCE_AUDIT.md</x:v>
      </x:c>
      <x:c r="E22" s="14" t="str">
        <x:v>2026-07-27</x:v>
      </x:c>
      <x:c r="F22" s="14" t="str">
        <x:v>Monthly − quarterly = CAD 1,000 (0.000082%). Retail − shipments = CAD 58,406,203.22; retail / shipments − 1 = 5.031748%. ECB 2024: 1,219,160,000 / 1.482110546875 = EUR 822,583,715.21.</x:v>
      </x:c>
      <x:c r="G22" s="14" t="str">
        <x:v>D8 passes: CAD and exclusion of GST/HST, provincial sales taxes and excise are source-linked. The monthly route is same-survey QA, not D10; retail and shipments do not form a market range.</x:v>
      </x:c>
      <x:c r="H22" s="14" t="str">
        <x:v>Supported</x:v>
      </x:c>
      <x:c r="I22" s="14" t="str">
        <x:v>D5 NAICS 459993/459999 coverage, D7 annual error boundary and D10 retail-to-shipment reconciliation remain open; Canada is not an accepted donor.</x:v>
      </x:c>
    </x:row>
    <x:row r="23" ht="58.5" customHeight="1">
      <x:c r="A23" s="14" t="str">
        <x:v>Health Canada's four 2024 categories sum to CAD 1,160,753,796.78 of net shipment value, 118,901,910 units and 1,251,843 litres.</x:v>
      </x:c>
      <x:c r="B23" s="14" t="str">
        <x:v>Market size</x:v>
      </x:c>
      <x:c r="C23" s="14" t="str">
        <x:v>Value shares are: part/device without substance 2.602%, device with substance 48.154%, part with substance 27.252% and vaping substance 21.992%. These are shipments to wholesalers or retailers, not consumer purchases.</x:v>
      </x:c>
      <x:c r="D23" s="14" t="str">
        <x:v>https://health-infobase.canada.ca/substance-use/vaping/sales/ ; https://laws-lois.justice.gc.ca/eng/regulations/SOR-2023-123/FullText.html ; source/CANADA_2024_DONOR_CLOSURE_PACK.md</x:v>
      </x:c>
      <x:c r="E23" s="14" t="str">
        <x:v>2026-07-25</x:v>
      </x:c>
      <x:c r="F23" s="14" t="str">
        <x:v>CAD 30,207,822.87 + 558,947,200.26 + 316,329,158.83 + 255,269,614.82 = CAD 1,160,753,796.78; shares use this total.</x:v>
      </x:c>
      <x:c r="G23" s="14" t="str">
        <x:v>Net sales are sales less returns and values are reported excluding taxes and duties. A device or part containing substance combines hardware and liquid value.</x:v>
      </x:c>
      <x:c r="H23" s="14" t="str">
        <x:v>Confirmed</x:v>
      </x:c>
      <x:c r="I23" s="14" t="str">
        <x:v>Do not apply shipment shares to retail as a device/liquid split and do not add transaction stages.</x:v>
      </x:c>
    </x:row>
    <x:row r="24" ht="58.5" customHeight="1">
      <x:c r="A24" s="14" t="str">
        <x:v>Germany's taxed liquid volume increased from 1.241 million litres to 1.518 million litres in 2023–2025.</x:v>
      </x:c>
      <x:c r="B24" s="14" t="str">
        <x:v>Market size</x:v>
      </x:c>
      <x:c r="C24" s="14" t="str">
        <x:v>The 2023 and 2024 observations are final, while 2025 is provisional.</x:v>
      </x:c>
      <x:c r="D24" s="14" t="str">
        <x:v>https://genesis.destatis.de/datenbank/online/statistic/73411/table/73411-0003</x:v>
      </x:c>
      <x:c r="E24" s="14" t="str">
        <x:v>2023–2025</x:v>
      </x:c>
      <x:c r="F24" s="14" t="str">
        <x:v>Direct use of the reported net quantities without extrapolation.</x:v>
      </x:c>
      <x:c r="G24" s="14" t="str">
        <x:v>The series covers taxed liquid, not devices or illicit supply.</x:v>
      </x:c>
      <x:c r="H24" s="14" t="str">
        <x:v>Confirmed</x:v>
      </x:c>
      <x:c r="I24" s="14" t="str">
        <x:v>Final 2025 data and observed retail sales are required.</x:v>
      </x:c>
    </x:row>
    <x:row r="25" ht="58.5" customHeight="1">
      <x:c r="A25" s="14" t="str">
        <x:v>German excise receipts from substitutes for tobacco were EUR 404 million in 2025, provisionally.</x:v>
      </x:c>
      <x:c r="B25" s="14" t="str">
        <x:v>Market size</x:v>
      </x:c>
      <x:c r="C25" s="14" t="str">
        <x:v>The observation is cash-basis excise revenue, not sales revenue or retail market value.</x:v>
      </x:c>
      <x:c r="D25" s="14" t="str">
        <x:v>https://genesis.destatis.de/datenbank/online/statistic/73411/table/73411-0003</x:v>
      </x:c>
      <x:c r="E25" s="14" t="str">
        <x:v>2025</x:v>
      </x:c>
      <x:c r="F25" s="14" t="str">
        <x:v>Direct use of the official cash-basis observation.</x:v>
      </x:c>
      <x:c r="G25" s="14" t="str">
        <x:v>Excise receipts are not treated as sales or retail value.</x:v>
      </x:c>
      <x:c r="H25" s="14" t="str">
        <x:v>Confirmed</x:v>
      </x:c>
      <x:c r="I25" s="14" t="str">
        <x:v>Final 2025 data and reconciliation of the product-category tax base are required.</x:v>
      </x:c>
    </x:row>
    <x:row r="26" ht="58.5" customHeight="1">
      <x:c r="A26" s="14" t="str">
        <x:v>Finland taxed 11,801.062 litres of nicotine-containing e-cigarette liquid in 2025.</x:v>
      </x:c>
      <x:c r="B26" s="14" t="str">
        <x:v>Market size</x:v>
      </x:c>
      <x:c r="C26" s="14" t="str">
        <x:v>This is an official full-year observation. The full-year value for nicotine-free liquid is suppressed. The figure is a physical volume, excludes devices and is not retail value.</x:v>
      </x:c>
      <x:c r="D26" s="14" t="str">
        <x:v>https://vero2.stat.fi/PXWeb/api/v1/en/Vero/Valmistevero/vvt_010.px</x:v>
      </x:c>
      <x:c r="E26" s="14" t="str">
        <x:v>2025</x:v>
      </x:c>
      <x:c r="F26" s="14" t="str">
        <x:v>Direct observation from the Finnish Tax Administration PXWeb table.</x:v>
      </x:c>
      <x:c r="G26" s="14" t="str">
        <x:v>The observation is not treated as the full market.</x:v>
      </x:c>
      <x:c r="H26" s="14" t="str">
        <x:v>Confirmed</x:v>
      </x:c>
      <x:c r="I26" s="14" t="str">
        <x:v>Devices, nicotine-free liquid, tax-free channels and illicit supply are missing.</x:v>
      </x:c>
    </x:row>
    <x:row r="27" ht="58.5" customHeight="1">
      <x:c r="A27" s="14" t="str">
        <x:v>Finland's nicotine-liquid excise receipts were EUR 3,540,319 in 2025.</x:v>
      </x:c>
      <x:c r="B27" s="14" t="str">
        <x:v>Market size</x:v>
      </x:c>
      <x:c r="C27" s="14" t="str">
        <x:v>This is an official full-year observation. The nicotine-free observation is suppressed. Tax receipts are not sales or retail value.</x:v>
      </x:c>
      <x:c r="D27" s="14" t="str">
        <x:v>https://vero2.stat.fi/PXWeb/api/v1/en/Vero/Valmistevero/vvt_010.px</x:v>
      </x:c>
      <x:c r="E27" s="14" t="str">
        <x:v>2025</x:v>
      </x:c>
      <x:c r="F27" s="14" t="str">
        <x:v>Direct observation from the Finnish Tax Administration PXWeb table.</x:v>
      </x:c>
      <x:c r="G27" s="14" t="str">
        <x:v>Tax receipts are not treated as consumer sales.</x:v>
      </x:c>
      <x:c r="H27" s="14" t="str">
        <x:v>Confirmed</x:v>
      </x:c>
      <x:c r="I27" s="14" t="str">
        <x:v>Observed retail sales and price evidence are required.</x:v>
      </x:c>
    </x:row>
    <x:row r="28" ht="58.5" customHeight="1">
      <x:c r="A28" s="14" t="str">
        <x:v>Poland's official e-liquid flow was 1,451,529 litres in 2020, 277,265 litres in 2021, 416,088 litres in 2022 and 805,441 litres in 2023.</x:v>
      </x:c>
      <x:c r="B28" s="14" t="str">
        <x:v>Market size</x:v>
      </x:c>
      <x:c r="C28" s="14" t="str">
        <x:v>The ministry's parliamentary-response table combines domestic sales, intra-EU acquisitions and imports recorded in ZEFIR2/AIS. The series is a physical e-liquid flow, not consumer sales or observed retail market value.</x:v>
      </x:c>
      <x:c r="D28" s="14" t="str">
        <x:v>https://api.sejm.gov.pl/sejm/term10/interpellations/attachment/ATTDDEJZ5/i07255-o1.pdf</x:v>
      </x:c>
      <x:c r="E28" s="14" t="str">
        <x:v>2020–2023</x:v>
      </x:c>
      <x:c r="F28" s="14" t="str">
        <x:v>Direct reproduction of four official annual observations; years are not summed into a market value.</x:v>
      </x:c>
      <x:c r="G28" s="14" t="str">
        <x:v>The published table does not split domestic sales, intra-EU acquisitions and imports and contains no device value.</x:v>
      </x:c>
      <x:c r="H28" s="14" t="str">
        <x:v>Confirmed</x:v>
      </x:c>
      <x:c r="I28" s="14" t="str">
        <x:v>Consumer retail value, channel coverage, tax basis and independent reconciliation are required.</x:v>
      </x:c>
    </x:row>
    <x:row r="29" ht="58.5" customHeight="1">
      <x:c r="A29" s="14" t="str">
        <x:v>Poland's 2025 tax bridge yields 4,382,500 derived taxable e-cigarette devices and 62,500 derived taxable component sets.</x:v>
      </x:c>
      <x:c r="B29" s="14" t="str">
        <x:v>Market size</x:v>
      </x:c>
      <x:c r="C29" s="14" t="str">
        <x:v>The official parliamentary response reports PLN 993.1 million for e-liquids, PLN 175.3 million for devices and PLN 2.5 million for component sets. The device and component-set duty was PLN 40 per unit from 1 July 2025.</x:v>
      </x:c>
      <x:c r="D29" s="14" t="str">
        <x:v>https://api.sejm.gov.pl/sejm/term10/interpellations/attachment/ATTDVKHSJ/i17526-o1.pdf ; https://www.podatki.gov.pl/akcyza/stawki-podatkowe/</x:v>
      </x:c>
      <x:c r="E29" s="14" t="str">
        <x:v>2025</x:v>
      </x:c>
      <x:c r="F29" s="14" t="str">
        <x:v>PLN 175,300,000 / 40 = 4,382,500 taxable devices; PLN 2,500,000 / 40 = 62,500 taxable component sets.</x:v>
      </x:c>
      <x:c r="G29" s="14" t="str">
        <x:v>The derived tax base covers only devices and component sets taxed from 1 July 2025. It does not establish consumer prices, retail sales, untaxed quantities or stock transitions.</x:v>
      </x:c>
      <x:c r="H29" s="14" t="str">
        <x:v>Supported</x:v>
      </x:c>
      <x:c r="I29" s="14" t="str">
        <x:v>The monthly duty profile, finality, retail prices, channel coverage and independent reconciliation are required.</x:v>
      </x:c>
    </x:row>
    <x:row r="30" ht="58.5" customHeight="1">
      <x:c r="A30" s="14" t="str">
        <x:v>Sweden's public evidence combines a 2024 tax anchor with 36 official FHM register-structure counts for 2018–2026; the register counts are not sales or market value.</x:v>
      </x:c>
      <x:c r="B30" s="14" t="str">
        <x:v>Market size</x:v>
      </x:c>
      <x:c r="C30" s="14" t="str">
        <x:v>Sweden taxed 26,000 litres of nicotine liquid in 2024 and reported rounded excise receipts of SEK 80,000,000. An authority-supplied workbook received and reviewed on 24 July 2026 contains 9 year labels × 4 structure metrics: reporting entities and notified, active and withdrawn products. The public FHM page documents the notification system; it is not presented as publishing the numeric series.</x:v>
      </x:c>
      <x:c r="D30" s="14" t="str">
        <x:v>https://www.regeringen.se/contentassets/1ed01e00001b42e5ad8d47433db63ece/berakningskonventioner_2026.pdf ; https://www.folkhalsomyndigheten.se/regler-och-tillsyn/tobak-och-nikotinprodukter-regler-for-tillverkning-handel-och-hantering/elektroniska-cigaretter-och-pafyllningsbehallare-sa-foljer-du-reglerna/ ; site/data/market-values.json</x:v>
      </x:c>
      <x:c r="E30" s="14" t="str">
        <x:v>2026-07-24</x:v>
      </x:c>
      <x:c r="F30" s="14" t="str">
        <x:v>36 = 9 years (2018–2026) × 4 register-structure metrics. The tax anchor, 39 market measures and 36 structure counts remain separate.</x:v>
      </x:c>
      <x:c r="G30" s="14" t="str">
        <x:v>No sales value, sales volume or market share is inferred from the structure counts. The 2018–2025 figures are authority-supplied year labels, not assumed annual flows or year-end snapshots. The 2026 records are a current snapshot and are not annualised.</x:v>
      </x:c>
      <x:c r="H30" s="14" t="str">
        <x:v>Confirmed</x:v>
      </x:c>
      <x:c r="I30" s="14" t="str">
        <x:v>Observed consumer sales in euros, device units and liquid millilitres, plus a publicly reusable numeric FHM series, are still required.</x:v>
      </x:c>
    </x:row>
    <x:row r="31" ht="58.5" customHeight="1">
      <x:c r="A31" s="14" t="str">
        <x:v>Three commercial 2025 global estimates form a range of USD 26.0–46.32 billion.</x:v>
      </x:c>
      <x:c r="B31" s="14" t="str">
        <x:v>Market size</x:v>
      </x:c>
      <x:c r="C31" s="14" t="str">
        <x:v>IMARC reports USD 26.0 billion, Grand View Research USD 45.7 billion and Fortune Business Insights USD 46.32 billion.</x:v>
      </x:c>
      <x:c r="D31" s="14" t="str">
        <x:v>https://www.imarcgroup.com/e-cigarette-market ; https://www.grandviewresearch.com/industry-analysis/e-cigarette-vaping-market ; https://www.fortunebusinessinsights.com/e-cigarette-and-vaping-market-114882</x:v>
      </x:c>
      <x:c r="E31" s="14" t="str">
        <x:v>2025</x:v>
      </x:c>
      <x:c r="F31" s="14" t="str">
        <x:v>Minimum USD 26.0 billion; maximum USD 46.32 billion; the estimates are compared, not summed.</x:v>
      </x:c>
      <x:c r="G31" s="14" t="str">
        <x:v>The scopes and methods of the commercial estimates may not be comparable.</x:v>
      </x:c>
      <x:c r="H31" s="14" t="str">
        <x:v>Supported</x:v>
      </x:c>
      <x:c r="I31" s="14" t="str">
        <x:v>Full methodologies and a harmonised scope are required before relying on the range.</x:v>
      </x:c>
    </x:row>
    <x:row r="32" ht="58.5" customHeight="1">
      <x:c r="A32" s="14" t="str">
        <x:v>The 2025 German taxed-liquid retail-equivalent model gives a range of EUR 667.92–1,654.62 million.</x:v>
      </x:c>
      <x:c r="B32" s="14" t="str">
        <x:v>Financial model</x:v>
      </x:c>
      <x:c r="C32" s="14" t="str">
        <x:v>This is not observed sales. Provisional 2025 volume is multiplied by three individual 2026 German e-shop prices. The year mismatch, a price basket from one retailer, product-mix uncertainty and exclusions make the estimate low confidence.</x:v>
      </x:c>
      <x:c r="D32" s="14" t="str">
        <x:v>https://genesis.destatis.de/datenbank/online/statistic/73411/table/73411-0003 ; https://www.intaste.de/pfefferminz-liquid-germanflavours-liquid ; https://www.intaste.de/anstand-liquid-samurai-liquid ; https://www.intaste.de/tobacco-vanilla-nikotinsalz-revoltage-liquid</x:v>
      </x:c>
      <x:c r="E32" s="14" t="str">
        <x:v>2025 volume / 2026 prices</x:v>
      </x:c>
      <x:c r="F32" s="14" t="str">
        <x:v>volume_litres * 1000 * retail_price_eur_per_ml</x:v>
      </x:c>
      <x:c r="G32" s="14" t="str">
        <x:v>Three individual online-shop prices; input years 2025 and 2026; taxed liquid only.</x:v>
      </x:c>
      <x:c r="H32" s="14" t="str">
        <x:v>Assumption</x:v>
      </x:c>
      <x:c r="I32" s="14" t="str">
        <x:v>A representative price basket, product mix and channel margins, plus model-year 2025 prices, are required.</x:v>
      </x:c>
    </x:row>
    <x:row r="33" ht="58.5" customHeight="1">
      <x:c r="A33" s="14" t="str">
        <x:v>The atlas is not yet a lender-ready market valuation.</x:v>
      </x:c>
      <x:c r="B33" s="14" t="str">
        <x:v>Financing thesis</x:v>
      </x:c>
      <x:c r="C33" s="14" t="str">
        <x:v>research_dataset_not_valuation: most countries lack official annual device and liquid sales; market evidence is not yet linked to country-level patent status and claim charts; there is no independent IVS valuation or realised licence or damages cash flow.</x:v>
      </x:c>
      <x:c r="D33" s="14" t="str">
        <x:v>site/data/atlas.json (readiness)</x:v>
      </x:c>
      <x:c r="E33" s="14" t="str">
        <x:v>2026-07-24</x:v>
      </x:c>
      <x:c r="F33" s="14" t="str">
        <x:v>Use of the public dataset's own readiness classification.</x:v>
      </x:c>
      <x:c r="G33" s="14" t="str">
        <x:v>Market data and IP value are kept analytically separate.</x:v>
      </x:c>
      <x:c r="H33" s="14" t="str">
        <x:v>Confirmed</x:v>
      </x:c>
      <x:c r="I33" s="14" t="str">
        <x:v>Every listed blocker must be closed before drawing collateral-value or enterprise-value conclusions.</x:v>
      </x:c>
    </x:row>
    <x:row r="34" ht="58.5" customHeight="1">
      <x:c r="A34" s="14" t="str">
        <x:v>The public data does not contain an independent IVS valuation.</x:v>
      </x:c>
      <x:c r="B34" s="14" t="str">
        <x:v>Financial model</x:v>
      </x:c>
      <x:c r="C34" s="14" t="str">
        <x:v>The absence is recorded as a readiness blocker.</x:v>
      </x:c>
      <x:c r="D34" s="14" t="str">
        <x:v>site/data/atlas.json (readiness.blockers)</x:v>
      </x:c>
      <x:c r="E34" s="14" t="str">
        <x:v>2026-07-24</x:v>
      </x:c>
      <x:c r="F34" s="14" t="str">
        <x:v>Absence check against the public package.</x:v>
      </x:c>
      <x:c r="G34" s="14" t="str">
        <x:v>No assumptions.</x:v>
      </x:c>
      <x:c r="H34" s="14" t="str">
        <x:v>Missing</x:v>
      </x:c>
      <x:c r="I34" s="14" t="str">
        <x:v>Commission an independent IP valuation and, if relevant, an enterprise valuation with scenarios.</x:v>
      </x:c>
    </x:row>
    <x:row r="35" ht="58.5" customHeight="1">
      <x:c r="A35" s="14" t="str">
        <x:v>The public data does not demonstrate realised licence or damages cash flow.</x:v>
      </x:c>
      <x:c r="B35" s="14" t="str">
        <x:v>Commercialisation model</x:v>
      </x:c>
      <x:c r="C35" s="14" t="str">
        <x:v>The absence is recorded as a readiness blocker.</x:v>
      </x:c>
      <x:c r="D35" s="14" t="str">
        <x:v>site/data/atlas.json (readiness.blockers)</x:v>
      </x:c>
      <x:c r="E35" s="14" t="str">
        <x:v>2026-07-24</x:v>
      </x:c>
      <x:c r="F35" s="14" t="str">
        <x:v>Absence check against the public package.</x:v>
      </x:c>
      <x:c r="G35" s="14" t="str">
        <x:v>No assumptions.</x:v>
      </x:c>
      <x:c r="H35" s="14" t="str">
        <x:v>Missing</x:v>
      </x:c>
      <x:c r="I35" s="14" t="str">
        <x:v>Provide signed agreements, invoices, proof of payment and reconciliation of receivables.</x:v>
      </x:c>
    </x:row>
    <x:row r="36" ht="58.5" customHeight="1">
      <x:c r="A36" s="14" t="str">
        <x:v>The public data does not confirm test results or independent technical validation.</x:v>
      </x:c>
      <x:c r="B36" s="14" t="str">
        <x:v>Technical differentiation</x:v>
      </x:c>
      <x:c r="C36" s="14" t="str">
        <x:v>The patent specification describes the solution, but the package contains no separate test register.</x:v>
      </x:c>
      <x:c r="D36" s="14" t="str">
        <x:v>site/data/patent-history.json</x:v>
      </x:c>
      <x:c r="E36" s="14" t="str">
        <x:v>2026-07-24</x:v>
      </x:c>
      <x:c r="F36" s="14" t="str">
        <x:v>Absence check in relation to any technical performance claim.</x:v>
      </x:c>
      <x:c r="G36" s="14" t="str">
        <x:v>A patent publication is not treated as a product test report.</x:v>
      </x:c>
      <x:c r="H36" s="14" t="str">
        <x:v>Missing</x:v>
      </x:c>
      <x:c r="I36" s="14" t="str">
        <x:v>Provide a test protocol, independent laboratory evidence, results and raw data.</x:v>
      </x:c>
    </x:row>
    <x:row r="37" ht="58.5" customHeight="1">
      <x:c r="A37" s="14" t="str">
        <x:v>The public data does not confirm pilots or named customer evidence.</x:v>
      </x:c>
      <x:c r="B37" s="14" t="str">
        <x:v>Validation</x:v>
      </x:c>
      <x:c r="C37" s="14" t="str">
        <x:v>The public evidence register contains no validated pilot or customer evidence.</x:v>
      </x:c>
      <x:c r="D37" s="14" t="str">
        <x:v>site/data/evidence.csv</x:v>
      </x:c>
      <x:c r="E37" s="14" t="str">
        <x:v>2026-07-24</x:v>
      </x:c>
      <x:c r="F37" s="14" t="str">
        <x:v>Absence check against the public evidence register.</x:v>
      </x:c>
      <x:c r="G37" s="14" t="str">
        <x:v>No company-level customer or pilot evidence is inferred.</x:v>
      </x:c>
      <x:c r="H37" s="14" t="str">
        <x:v>Missing</x:v>
      </x:c>
      <x:c r="I37" s="14" t="str">
        <x:v>Provide signed pilot documents, delivery evidence, customer references and usage data.</x:v>
      </x:c>
    </x:row>
    <x:row r="38" ht="58.5" customHeight="1">
      <x:c r="A38" s="14" t="str">
        <x:v>The public data does not confirm current country-level title, renewal-fee status or absence of encumbrances across the family.</x:v>
      </x:c>
      <x:c r="B38" s="14" t="str">
        <x:v>IP status</x:v>
      </x:c>
      <x:c r="C38" s="14" t="str">
        <x:v>Family publications do not establish current national post-grant status.</x:v>
      </x:c>
      <x:c r="D38" s="14" t="str">
        <x:v>https://register.epo.org/application?number=EP14836345&amp;lng=en&amp;tab=family ; https://register.epo.org/application?number=EP14836345&amp;lng=en&amp;tab=legal ; https://www.epo.org/en/applying/european/validation</x:v>
      </x:c>
      <x:c r="E38" s="14" t="str">
        <x:v>2026-07-24</x:v>
      </x:c>
      <x:c r="F38" s="14" t="str">
        <x:v>Identification of the legal due-diligence limitation.</x:v>
      </x:c>
      <x:c r="G38" s="14" t="str">
        <x:v>Checks in four registers do not establish status across the full family.</x:v>
      </x:c>
      <x:c r="H38" s="14" t="str">
        <x:v>Missing</x:v>
      </x:c>
      <x:c r="I38" s="14" t="str">
        <x:v>Provide a counsel-signed country matrix, current official extracts, renewal receipts and encumbrance evidence.</x:v>
      </x:c>
    </x:row>
    <x:row r="39" ht="58.5" customHeight="1">
      <x:c r="A39" s="14" t="str">
        <x:v>The public data contains no country-specific product-to-claim mappings.</x:v>
      </x:c>
      <x:c r="B39" s="14" t="str">
        <x:v>Technical differentiation</x:v>
      </x:c>
      <x:c r="C39" s="14" t="str">
        <x:v>The published guardrail requires a counsel-reviewed claim chart before infringement conclusions.</x:v>
      </x:c>
      <x:c r="D39" s="14" t="str">
        <x:v>https://data.epo.org/publication-server/rest/v1.2/patents/EP3032975NWB2/document.pdf ; https://www.gesetze-bayern.de/Content/Document/Y-300-Z-BECKRS-B-2026-N-14206</x:v>
      </x:c>
      <x:c r="E39" s="14" t="str">
        <x:v>2026-07-24</x:v>
      </x:c>
      <x:c r="F39" s="14" t="str">
        <x:v>Absence check for product-feature mapping to operative claim limitations.</x:v>
      </x:c>
      <x:c r="G39" s="14" t="str">
        <x:v>Product similarity is not treated as evidence of infringement.</x:v>
      </x:c>
      <x:c r="H39" s="14" t="str">
        <x:v>Missing</x:v>
      </x:c>
      <x:c r="I39" s="14" t="str">
        <x:v>Obtain identified products, chain of custody, teardown evidence and counsel-reviewed claim charts.</x:v>
      </x:c>
    </x:row>
    <x:row r="40" ht="58.5" customHeight="1">
      <x:c r="A40" s="14" t="str">
        <x:v>Total market value is not automatically the royalty base.</x:v>
      </x:c>
      <x:c r="B40" s="14" t="str">
        <x:v>Financial model</x:v>
      </x:c>
      <x:c r="C40" s="14" t="str">
        <x:v>The valuation framework separates total market, addressable sales and cash flow.</x:v>
      </x:c>
      <x:c r="D40" s="14" t="str">
        <x:v>https://www.wipo.int/en/web/business/ip-valuation</x:v>
      </x:c>
      <x:c r="E40" s="14" t="str">
        <x:v>2026-07-24</x:v>
      </x:c>
      <x:c r="F40" s="14" t="str">
        <x:v>Application of the valuation boundary stated in the framework.</x:v>
      </x:c>
      <x:c r="G40" s="14" t="str">
        <x:v>A royalty base requires geographic, temporal and product-level relevance to the claims.</x:v>
      </x:c>
      <x:c r="H40" s="14" t="str">
        <x:v>Confirmed</x:v>
      </x:c>
      <x:c r="I40" s="14" t="str">
        <x:v>Build a bridge from total market to addressable, in-scope and claim-mapped sales.</x:v>
      </x:c>
    </x:row>
    <x:row r="41" ht="58.5" customHeight="1">
      <x:c r="A41" s="14" t="str">
        <x:v>Patent value, enterprise value, equity value and collateral value are distinct metrics.</x:v>
      </x:c>
      <x:c r="B41" s="14" t="str">
        <x:v>Financing thesis</x:v>
      </x:c>
      <x:c r="C41" s="14" t="str">
        <x:v>WIPO valuation and IP-financing frameworks, together with the published guardrail, require the value concepts to be separated.</x:v>
      </x:c>
      <x:c r="D41" s="14" t="str">
        <x:v>https://www.wipo.int/en/web/business/ip-valuation ; https://www.wipo.int/en/web/ip-financing</x:v>
      </x:c>
      <x:c r="E41" s="14" t="str">
        <x:v>2026-07-24</x:v>
      </x:c>
      <x:c r="F41" s="14" t="str">
        <x:v>Analytical separation of the value concepts.</x:v>
      </x:c>
      <x:c r="G41" s="14" t="str">
        <x:v>No assumptions.</x:v>
      </x:c>
      <x:c r="H41" s="14" t="str">
        <x:v>Confirmed</x:v>
      </x:c>
      <x:c r="I41" s="14" t="str">
        <x:v>Separate legal and economic analysis is required for each value concept.</x:v>
      </x:c>
    </x:row>
    <x:row r="42" ht="58.5" customHeight="1">
      <x:c r="A42" s="14" t="str">
        <x:v>A counsel-led limited licensing or settlement pilot is a possible commercialisation hypothesis.</x:v>
      </x:c>
      <x:c r="B42" s="14" t="str">
        <x:v>Commercialisation model</x:v>
      </x:c>
      <x:c r="C42" s="14" t="str">
        <x:v>The proposed route uses staged hard gates, claim charts and auditable outreach.</x:v>
      </x:c>
      <x:c r="D42" s="14" t="str">
        <x:v>https://www.wipo.int/ja/web/business/assignment-licensing ; https://www.wipo.int/en/web/business/settle-ip-disputes ; https://www.epo.org/en/searching-for-patents/business/ipscore</x:v>
      </x:c>
      <x:c r="E42" s="14" t="str">
        <x:v>2026-07-24</x:v>
      </x:c>
      <x:c r="F42" s="14" t="str">
        <x:v>A proposed hypothesis, not evidence of realised commercialisation.</x:v>
      </x:c>
      <x:c r="G42" s="14" t="str">
        <x:v>Targets would be selected only after legal and evidence gates are satisfied.</x:v>
      </x:c>
      <x:c r="H42" s="14" t="str">
        <x:v>Assumption</x:v>
      </x:c>
      <x:c r="I42" s="14" t="str">
        <x:v>Management and patent-counsel approval are required, and cost, responses and terms must be documented.</x:v>
      </x:c>
    </x:row>
    <x:row r="43" ht="58.5" customHeight="1">
      <x:c r="A43" s="14" t="str">
        <x:v>Patent-backed financing should be assessed only on the basis of confirmed rights and cash flows.</x:v>
      </x:c>
      <x:c r="B43" s="14" t="str">
        <x:v>Financing thesis</x:v>
      </x:c>
      <x:c r="C43" s="14" t="str">
        <x:v>WIPO IP Finance and phase 5 of the patent history.</x:v>
      </x:c>
      <x:c r="D43" s="14" t="str">
        <x:v>https://www.wipo.int/en/web/ip-financing ; https://www.wipo.int/en/web/business/ip-valuation</x:v>
      </x:c>
      <x:c r="E43" s="14" t="str">
        <x:v>2026-07-24</x:v>
      </x:c>
      <x:c r="F43" s="14" t="str">
        <x:v>Financing principle.</x:v>
      </x:c>
      <x:c r="G43" s="14" t="str">
        <x:v>The current material does not demonstrate an existing collateral value.</x:v>
      </x:c>
      <x:c r="H43" s="14" t="str">
        <x:v>Supported</x:v>
      </x:c>
      <x:c r="I43" s="14" t="str">
        <x:v>Independent valuation, rights due diligence, realised or contracted cash flow and downside analysis are required.</x:v>
      </x:c>
    </x:row>
    <x:row r="44" ht="58.5" customHeight="1">
      <x:c r="A44" s="14" t="str">
        <x:v>The next Australian renewal must be confirmed immediately.</x:v>
      </x:c>
      <x:c r="B44" s="14" t="str">
        <x:v>Risks</x:v>
      </x:c>
      <x:c r="C44" s="14" t="str">
        <x:v>The official API records the patent as GRANTED, the latest renewal on 18 July 2025 and an in-force date of 14 August 2026.</x:v>
      </x:c>
      <x:c r="D44" s="14" t="str">
        <x:v>https://production.api.ipaustralia.gov.au/public/ipright-search-api/v1/patents/2014307829</x:v>
      </x:c>
      <x:c r="E44" s="14" t="str">
        <x:v>2026-08-14</x:v>
      </x:c>
      <x:c r="F44" s="14" t="str">
        <x:v>Diligence alert derived directly from the official API record.</x:v>
      </x:c>
      <x:c r="G44" s="14" t="str">
        <x:v>The recorded in-force-through date is not asserted to be the statutory payment deadline.</x:v>
      </x:c>
      <x:c r="H44" s="14" t="str">
        <x:v>Confirmed</x:v>
      </x:c>
      <x:c r="I44" s="14" t="str">
        <x:v>The patent administrator or Australian counsel must confirm the statutory date, amount, authority and payment, and archive the receipt and current extract.</x:v>
      </x:c>
    </x:row>
    <x:row r="45" ht="58.5" customHeight="1">
      <x:c r="A45" s="14" t="str">
        <x:v>The Finnish register records the 14th-year fee as due on 31 August 2026.</x:v>
      </x:c>
      <x:c r="B45" s="14" t="str">
        <x:v>Risks</x:v>
      </x:c>
      <x:c r="C45" s="14" t="str">
        <x:v>PRH records the 14th-year EUR 670 fee as due on 31 August 2026, with a late-payment period through 28 February 2027.</x:v>
      </x:c>
      <x:c r="D45" s="14" t="str">
        <x:v>https://patenttitietopalvelu.prh.fi/en/patent/20135829</x:v>
      </x:c>
      <x:c r="E45" s="14" t="str">
        <x:v>2026-08-31</x:v>
      </x:c>
      <x:c r="F45" s="14" t="str">
        <x:v>Direct observation from the official register.</x:v>
      </x:c>
      <x:c r="G45" s="14" t="str">
        <x:v>The ordinary deadline is the target rather than the late-payment period.</x:v>
      </x:c>
      <x:c r="H45" s="14" t="str">
        <x:v>Confirmed</x:v>
      </x:c>
      <x:c r="I45" s="14" t="str">
        <x:v>Pay by the ordinary deadline and archive the receipt and updated register extract.</x:v>
      </x:c>
    </x:row>
    <x:row r="46" ht="58.5" customHeight="1">
      <x:c r="A46" s="14" t="str">
        <x:v>The US 7.5-year maintenance-fee status must be confirmed.</x:v>
      </x:c>
      <x:c r="B46" s="14" t="str">
        <x:v>Risks</x:v>
      </x:c>
      <x:c r="C46" s="14" t="str">
        <x:v>The official route shows that the no-surcharge window ends on 4 December 2026. Payment was not independently confirmed from the reviewed public material.</x:v>
      </x:c>
      <x:c r="D46" s="14" t="str">
        <x:v>https://fees.uspto.gov/MaintenanceFees/fees/details?patentNumber=10306923 ; https://patentcenter.uspto.gov/applications/14911851 ; https://assignment.uspto.gov/patent/index.html#/patent/search/resultFilter?searchInput=10306923</x:v>
      </x:c>
      <x:c r="E46" s="14" t="str">
        <x:v>2026-12-04</x:v>
      </x:c>
      <x:c r="F46" s="14" t="str">
        <x:v>Check of the official maintenance-fee window.</x:v>
      </x:c>
      <x:c r="G46" s="14" t="str">
        <x:v>The public record reviewed here does not establish whether the fee has been paid or remains unpaid.</x:v>
      </x:c>
      <x:c r="H46" s="14" t="str">
        <x:v>Confirmed</x:v>
      </x:c>
      <x:c r="I46" s="14" t="str">
        <x:v>US counsel must confirm entity status, amount and payment, and archive receipts and assignment records.</x:v>
      </x:c>
    </x:row>
    <x:row r="47" ht="58.5" customHeight="1">
      <x:c r="A47" s="14" t="str">
        <x:v>The public data lacks audited historical financial statements and a cash-flow forecast.</x:v>
      </x:c>
      <x:c r="B47" s="14" t="str">
        <x:v>Financial model</x:v>
      </x:c>
      <x:c r="C47" s="14" t="str">
        <x:v>The market and patent dataset does not contain company financial statements.</x:v>
      </x:c>
      <x:c r="D47" s="14" t="str">
        <x:v>Public package scope</x:v>
      </x:c>
      <x:c r="E47" s="14" t="str">
        <x:v>2026-07-24</x:v>
      </x:c>
      <x:c r="F47" s="14" t="str">
        <x:v>Absence check against the scope of the public package.</x:v>
      </x:c>
      <x:c r="G47" s="14" t="str">
        <x:v>No company-level financial conclusion is drawn.</x:v>
      </x:c>
      <x:c r="H47" s="14" t="str">
        <x:v>Missing</x:v>
      </x:c>
      <x:c r="I47" s="14" t="str">
        <x:v>Provide 3–5 years of financial statements, the current general ledger, budget, cash-flow forecast, debt schedule and tax-debt certificate.</x:v>
      </x:c>
    </x:row>
    <x:row r="48" ht="58.5" customHeight="1">
      <x:c r="A48" s="14" t="str">
        <x:v>The public data does not specify the funding need, use of funds or repayment source.</x:v>
      </x:c>
      <x:c r="B48" s="14" t="str">
        <x:v>Financing thesis</x:v>
      </x:c>
      <x:c r="C48" s="14" t="str">
        <x:v>The public package does not state the requested amount, intended use or repayment structure.</x:v>
      </x:c>
      <x:c r="D48" s="14" t="str">
        <x:v>Public package scope</x:v>
      </x:c>
      <x:c r="E48" s="14" t="str">
        <x:v>2026-07-24</x:v>
      </x:c>
      <x:c r="F48" s="14" t="str">
        <x:v>Absence check against the scope of the public package.</x:v>
      </x:c>
      <x:c r="G48" s="14" t="str">
        <x:v>No amount, maturity or security package is assumed.</x:v>
      </x:c>
      <x:c r="H48" s="14" t="str">
        <x:v>Missing</x:v>
      </x:c>
      <x:c r="I48" s="14" t="str">
        <x:v>Provide the amount, use of funds, maturity, amortisation, repayment source and proposed covenants.</x:v>
      </x:c>
    </x:row>
    <x:row r="49" ht="58.5" customHeight="1">
      <x:c r="A49" s="14" t="str">
        <x:v>The public data does not show the share capital, cap table or share encumbrances.</x:v>
      </x:c>
      <x:c r="B49" s="14" t="str">
        <x:v>Financing thesis</x:v>
      </x:c>
      <x:c r="C49" s="14" t="str">
        <x:v>The public package is limited to market and patent material.</x:v>
      </x:c>
      <x:c r="D49" s="14" t="str">
        <x:v>Public package scope</x:v>
      </x:c>
      <x:c r="E49" s="14" t="str">
        <x:v>2026-07-24</x:v>
      </x:c>
      <x:c r="F49" s="14" t="str">
        <x:v>Absence check against the scope of the public package.</x:v>
      </x:c>
      <x:c r="G49" s="14" t="str">
        <x:v>No conclusion is drawn about ownership or vulnerability to competing claims.</x:v>
      </x:c>
      <x:c r="H49" s="14" t="str">
        <x:v>Missing</x:v>
      </x:c>
      <x:c r="I49" s="14" t="str">
        <x:v>Provide a certified shareholder register, articles, resolutions and a share-pledge and encumbrance statement in a closed data room.</x:v>
      </x:c>
    </x:row>
    <x:row r="50" ht="58.5" customHeight="1">
      <x:c r="A50" s="14" t="str">
        <x:v>The public data lacks a comparable analysis of competitors and alternatives.</x:v>
      </x:c>
      <x:c r="B50" s="14" t="str">
        <x:v>Competition</x:v>
      </x:c>
      <x:c r="C50" s="14" t="str">
        <x:v>Patent and case materials are not a competition map.</x:v>
      </x:c>
      <x:c r="D50" s="14" t="str">
        <x:v>site/data/patent-history.json</x:v>
      </x:c>
      <x:c r="E50" s="14" t="str">
        <x:v>2026-07-24</x:v>
      </x:c>
      <x:c r="F50" s="14" t="str">
        <x:v>Absence check against the public package.</x:v>
      </x:c>
      <x:c r="G50" s="14" t="str">
        <x:v>Competition is kept separate from patent overlap and from non-patented alternatives.</x:v>
      </x:c>
      <x:c r="H50" s="14" t="str">
        <x:v>Missing</x:v>
      </x:c>
      <x:c r="I50" s="14" t="str">
        <x:v>Map products, manufacturers, technologies, patent families, prices and claim-map status.</x:v>
      </x:c>
    </x:row>
    <x:row r="51" ht="58.5" customHeight="1">
      <x:c r="A51" s="14" t="str">
        <x:v>Manufacturers, technology providers and IP financiers are preliminary customer segments.</x:v>
      </x:c>
      <x:c r="B51" s="14" t="str">
        <x:v>Customers</x:v>
      </x:c>
      <x:c r="C51" s="14" t="str">
        <x:v>The reviewed commercialisation routes include licensing, assignment and IP finance.</x:v>
      </x:c>
      <x:c r="D51" s="14" t="str">
        <x:v>https://www.wipo.int/ja/web/business/assignment-licensing ; https://www.wipo.int/en/web/ip-financing</x:v>
      </x:c>
      <x:c r="E51" s="14" t="str">
        <x:v>2026-07-24</x:v>
      </x:c>
      <x:c r="F51" s="14" t="str">
        <x:v>Preliminary segmentation hypothesis based on the identified commercialisation routes.</x:v>
      </x:c>
      <x:c r="G51" s="14" t="str">
        <x:v>There is no verified purchase intent or validated customer base.</x:v>
      </x:c>
      <x:c r="H51" s="14" t="str">
        <x:v>Assumption</x:v>
      </x:c>
      <x:c r="I51" s="14" t="str">
        <x:v>Validate the segments through 10–15 structured buyer and financier interviews and document their purchase criteria.</x:v>
      </x:c>
    </x:row>
    <x:row r="52" ht="58.5" customHeight="1">
      <x:c r="A52" s="14" t="str">
        <x:v>The German decisions can serve as an evidence anchor, not as a worldwide infringement determination.</x:v>
      </x:c>
      <x:c r="B52" s="14" t="str">
        <x:v>Financing thesis</x:v>
      </x:c>
      <x:c r="C52" s="14" t="str">
        <x:v>The decisions are limited to a country, products, parties and period.</x:v>
      </x:c>
      <x:c r="D52" s="14" t="str">
        <x:v>https://www.rechtsprechung-im-internet.de/jportal/?quelle=jlink&amp;docid=JURE269032275&amp;psml=bsjrsprod.psml ; https://www.gesetze-bayern.de/Content/Document/Y-300-Z-BECKRS-B-2026-N-14206</x:v>
      </x:c>
      <x:c r="E52" s="14" t="str">
        <x:v>2026-07-24</x:v>
      </x:c>
      <x:c r="F52" s="14" t="str">
        <x:v>Application of the territorial and case-specific limits of the decisions.</x:v>
      </x:c>
      <x:c r="G52" s="14" t="str">
        <x:v>Other countries depend on local rights and the products examined there.</x:v>
      </x:c>
      <x:c r="H52" s="14" t="str">
        <x:v>Confirmed</x:v>
      </x:c>
      <x:c r="I52" s="14" t="str">
        <x:v>Country-specific legal and claim packages are required before outreach.</x:v>
      </x:c>
    </x:row>
    <x:row r="53" ht="58.5" customHeight="1">
      <x:c r="A53" s="14" t="str">
        <x:v>Five countries are graded A and 158 countries are graded D.</x:v>
      </x:c>
      <x:c r="B53" s="14" t="str">
        <x:v>Market size</x:v>
      </x:c>
      <x:c r="C53" s="14" t="str">
        <x:v>Classes: A 5, B 13, C 19, D 158.</x:v>
      </x:c>
      <x:c r="D53" s="14" t="str">
        <x:v>site/data/atlas.json (summary.gradeCounts)</x:v>
      </x:c>
      <x:c r="E53" s="14" t="str">
        <x:v>2026-07-24</x:v>
      </x:c>
      <x:c r="F53" s="14" t="str">
        <x:v>Count of countries in each evidence grade.</x:v>
      </x:c>
      <x:c r="G53" s="14" t="str">
        <x:v>Evidence maturity is not treated as market attractiveness.</x:v>
      </x:c>
      <x:c r="H53" s="14" t="str">
        <x:v>Confirmed</x:v>
      </x:c>
      <x:c r="I53" s="14" t="str">
        <x:v>Prioritise Grade D data requests by economic size, patent relevance and regulatory fit.</x:v>
      </x:c>
    </x:row>
    <x:row r="54" ht="58.5" customHeight="1">
      <x:c r="A54" s="14" t="str">
        <x:v>No global atlas estimate has been approved for publication.</x:v>
      </x:c>
      <x:c r="B54" s="14" t="str">
        <x:v>Market size</x:v>
      </x:c>
      <x:c r="C54" s="14" t="str">
        <x:v>Zero accepted donors is below the minimum of three. Each of the five published New Zealand, EU, Canada, Germany and United States candidates has at least one failed or open D1–D10 criterion; the regional and regulatory-archetype coverage gates also remain unmet.</x:v>
      </x:c>
      <x:c r="D54" s="14" t="str">
        <x:v>site/data/market-values.json (modelReadiness, donorProtocol and donorCandidates)</x:v>
      </x:c>
      <x:c r="E54" s="14" t="str">
        <x:v>2026-07-27</x:v>
      </x:c>
      <x:c r="F54" s="14" t="str">
        <x:v>Hard gate: every donor must pass D1–D10, and at least three compatible donors plus both coverage gates are required.</x:v>
      </x:c>
      <x:c r="G54" s="14" t="str">
        <x:v>Official lower bounds and external benchmarks remain useful cross-checks but are not counted as accepted donors.</x:v>
      </x:c>
      <x:c r="H54" s="14" t="str">
        <x:v>Confirmed</x:v>
      </x:c>
      <x:c r="I54" s="14" t="str">
        <x:v>Do not publish a single global value before the methodology gates are met.</x:v>
      </x:c>
    </x:row>
    <x:row r="55" ht="58.5" customHeight="1">
      <x:c r="A55" s="15" t="str">
        <x:v>A high-confidence financing package requires a closed data room alongside the public package.</x:v>
      </x:c>
      <x:c r="B55" s="15" t="str">
        <x:v>Next steps</x:v>
      </x:c>
      <x:c r="C55" s="15" t="str">
        <x:v>The public package documents sources and gaps but does not contain confidential financial, contractual or complete title evidence.</x:v>
      </x:c>
      <x:c r="D55" s="15" t="str">
        <x:v>Public package scope</x:v>
      </x:c>
      <x:c r="E55" s="15" t="str">
        <x:v>2026-07-24</x:v>
      </x:c>
      <x:c r="F55" s="15" t="str">
        <x:v>Recommendation based on the due-diligence architecture required by the identified gaps.</x:v>
      </x:c>
      <x:c r="G55" s="15" t="str">
        <x:v>Access would be restricted and logged.</x:v>
      </x:c>
      <x:c r="H55" s="15" t="str">
        <x:v>Supported</x:v>
      </x:c>
      <x:c r="I55" s="15" t="str">
        <x:v>Create an indexed data room with Corporate, IP, Legal, Commercial, Finance, Valuation and Security sections.</x:v>
      </x:c>
    </x:row>
  </x:sheetData>
  <x:conditionalFormatting sqref="H2:H55">
    <x:cfRule type="containsText" dxfId="0" priority="1" operator="containsText" text="Confirmed"/>
    <x:cfRule type="containsText" dxfId="1" priority="2" operator="containsText" text="Supported"/>
    <x:cfRule type="containsText" dxfId="2" priority="3" operator="containsText" text="Assumption"/>
    <x:cfRule type="containsText" dxfId="3" priority="4" operator="containsText" text="Missing"/>
  </x:conditionalFormatting>
  <x:dataValidations count="1">
    <x:dataValidation type="list" sqref="H2:H55">
      <x:formula1>"Confirmed,Supported,Assumption,Missing"</x:formula1>
    </x:dataValidation>
  </x:dataValidations>
  <x:pageMargins left="0.7" right="0.7" top="0.75" bottom="0.75" header="0.3" footer="0.3"/>
  <x:tableParts count="1">
    <x:tablePart xmlns:r="http://schemas.openxmlformats.org/officeDocument/2006/relationships" r:id="R9c08f8d02c4e42d0"/>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3.329999923706055" hidden="0" customWidth="1"/>
    <x:col min="2" max="2" width="80" hidden="0" customWidth="1"/>
    <x:col min="3" max="3" width="8.890000343322754" hidden="0" customWidth="1"/>
    <x:col min="4" max="4" width="8.890000343322754" hidden="0" customWidth="1"/>
    <x:col min="5" max="5" width="8.890000343322754" hidden="0" customWidth="1"/>
    <x:col min="6" max="6" width="8.890000343322754" hidden="0" customWidth="1"/>
    <x:col min="7" max="7" width="8.890000343322754" hidden="0" customWidth="1"/>
    <x:col min="8" max="8" width="8.890000343322754" hidden="0" customWidth="1"/>
  </x:cols>
  <x:sheetData>
    <x:row r="1" ht="25.5" customHeight="1">
      <x:c r="A1" s="20" t="str">
        <x:v>Pixan · public evidence package summary</x:v>
      </x:c>
      <x:c r="B1" s="20"/>
      <x:c r="C1" s="20"/>
      <x:c r="D1" s="20"/>
      <x:c r="E1" s="20"/>
      <x:c r="F1" s="20"/>
      <x:c r="G1" s="20"/>
      <x:c r="H1" s="20"/>
    </x:row>
    <x:row r="2" ht="25.5" customHeight="1">
      <x:c r="A2" s="20"/>
      <x:c r="B2" s="20"/>
      <x:c r="C2" s="20"/>
      <x:c r="D2" s="20"/>
      <x:c r="E2" s="20"/>
      <x:c r="F2" s="20"/>
      <x:c r="G2" s="20"/>
      <x:c r="H2" s="20"/>
    </x:row>
    <x:row r="3" ht="28.5" customHeight="1">
      <x:c r="A3" s="25" t="str">
        <x:v>Independent public evidence summary. Not Pixan Oy's official position; not an audit, valuation, legal opinion, investment recommendation or lending recommendation.</x:v>
      </x:c>
      <x:c r="B3" s="25"/>
      <x:c r="C3" s="25"/>
      <x:c r="D3" s="25"/>
      <x:c r="E3" s="25"/>
      <x:c r="F3" s="25"/>
      <x:c r="G3" s="25"/>
      <x:c r="H3" s="25"/>
    </x:row>
    <x:row r="5" ht="20.25" customHeight="1">
      <x:c r="A5" s="29" t="str">
        <x:v>Version</x:v>
      </x:c>
      <x:c r="B5" s="13" t="str">
        <x:v>2026.07.27-30</x:v>
      </x:c>
    </x:row>
    <x:row r="6" ht="20.25" customHeight="1">
      <x:c r="A6" s="29" t="str">
        <x:v>Updated</x:v>
      </x:c>
      <x:c r="B6" s="14" t="str">
        <x:v>2026-07-27</x:v>
      </x:c>
    </x:row>
    <x:row r="7" ht="31.5" customHeight="1">
      <x:c r="A7" s="29" t="str">
        <x:v>Scope</x:v>
      </x:c>
      <x:c r="B7" s="14" t="str">
        <x:v>Public and independent evidence summary; facts, calculations, interpretations and assumptions are separated.</x:v>
      </x:c>
    </x:row>
    <x:row r="8" ht="20.25" customHeight="1">
      <x:c r="A8" s="29" t="str">
        <x:v>Evidence rows</x:v>
      </x:c>
      <x:c r="B8" s="15" t="n">
        <x:f>COUNTA('Evidence Register'!$A$2:$A$55)</x:f>
        <x:v>54</x:v>
      </x:c>
    </x:row>
    <x:row r="9" ht="20.25" customHeight="1"/>
    <x:row r="10" ht="20.25" customHeight="1">
      <x:c r="A10" s="31" t="str">
        <x:v>Evidence distribution</x:v>
      </x:c>
      <x:c r="B10" s="31"/>
    </x:row>
    <x:row r="11" ht="20.25" customHeight="1">
      <x:c r="A11" s="36" t="str">
        <x:v>Confirmed</x:v>
      </x:c>
      <x:c r="B11" s="13" t="n">
        <x:f>COUNTIF('Evidence Register'!$H$2:$H$55,A11)</x:f>
        <x:v>29</x:v>
      </x:c>
    </x:row>
    <x:row r="12" ht="20.25" customHeight="1">
      <x:c r="A12" s="37" t="str">
        <x:v>Supported</x:v>
      </x:c>
      <x:c r="B12" s="14" t="n">
        <x:f>COUNTIF('Evidence Register'!$H$2:$H$55,A12)</x:f>
        <x:v>12</x:v>
      </x:c>
    </x:row>
    <x:row r="13" ht="20.25" customHeight="1">
      <x:c r="A13" s="38" t="str">
        <x:v>Assumption</x:v>
      </x:c>
      <x:c r="B13" s="14" t="n">
        <x:f>COUNTIF('Evidence Register'!$H$2:$H$55,A13)</x:f>
        <x:v>3</x:v>
      </x:c>
    </x:row>
    <x:row r="14" ht="20.25" customHeight="1">
      <x:c r="A14" s="39" t="str">
        <x:v>Missing</x:v>
      </x:c>
      <x:c r="B14" s="15" t="n">
        <x:f>COUNTIF('Evidence Register'!$H$2:$H$55,A14)</x:f>
        <x:v>10</x:v>
      </x:c>
    </x:row>
    <x:row r="15" ht="20.25" customHeight="1"/>
    <x:row r="16" ht="20.25" customHeight="1"/>
    <x:row r="17" ht="20.25" customHeight="1">
      <x:c r="A17" s="31" t="str">
        <x:v>Three strongest financing grounds</x:v>
      </x:c>
      <x:c r="B17" s="31"/>
    </x:row>
    <x:row r="18" ht="28.5" customHeight="1">
      <x:c r="A18" s="13" t="n">
        <x:v>1</x:v>
      </x:c>
      <x:c r="B18" s="13" t="str">
        <x:v>EPO maintained the patent in amended form, and the B2 publication is traceable to official records.</x:v>
      </x:c>
    </x:row>
    <x:row r="19" ht="28.5" customHeight="1">
      <x:c r="A19" s="14" t="n">
        <x:v>2</x:v>
      </x:c>
      <x:c r="B19" s="14" t="str">
        <x:v>Germany provides official nullity and infringement decisions within clearly stated limits.</x:v>
      </x:c>
    </x:row>
    <x:row r="20" ht="28.5" customHeight="1">
      <x:c r="A20" s="15" t="n">
        <x:v>3</x:v>
      </x:c>
      <x:c r="B20" s="15" t="str">
        <x:v>The public market evidence visibly separates official observations, proxies, models and gaps.</x:v>
      </x:c>
    </x:row>
    <x:row r="21" ht="20.25" customHeight="1"/>
    <x:row r="22" ht="20.25" customHeight="1"/>
    <x:row r="23" ht="20.25" customHeight="1">
      <x:c r="A23" s="31" t="str">
        <x:v>Four corrections required for lender readiness</x:v>
      </x:c>
      <x:c r="B23" s="31"/>
    </x:row>
    <x:row r="24" ht="27" customHeight="1">
      <x:c r="A24" s="13" t="n">
        <x:v>1</x:v>
      </x:c>
      <x:c r="B24" s="13" t="str">
        <x:v>Counsel-signed rights, title, encumbrance and fee-payment matrix.</x:v>
      </x:c>
    </x:row>
    <x:row r="25" ht="27" customHeight="1">
      <x:c r="A25" s="14" t="n">
        <x:v>2</x:v>
      </x:c>
      <x:c r="B25" s="14" t="str">
        <x:v>Independent tests and claim charts for prioritised products.</x:v>
      </x:c>
    </x:row>
    <x:row r="26" ht="27" customHeight="1">
      <x:c r="A26" s="14" t="n">
        <x:v>3</x:v>
      </x:c>
      <x:c r="B26" s="14" t="str">
        <x:v>Realised or contract-based cash flow and audited financial information.</x:v>
      </x:c>
    </x:row>
    <x:row r="27" ht="27" customHeight="1">
      <x:c r="A27" s="15" t="n">
        <x:v>4</x:v>
      </x:c>
      <x:c r="B27" s="15" t="str">
        <x:v>Independent valuation and downside collateral analysis.</x:v>
      </x:c>
    </x:row>
  </x:sheetData>
  <x:mergeCells>
    <x:mergeCell ref="A1:H2"/>
    <x:mergeCell ref="A3:H3"/>
    <x:mergeCell ref="A10:B10"/>
    <x:mergeCell ref="A17:B17"/>
    <x:mergeCell ref="A23:B23"/>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5.5600004196167" hidden="0" customWidth="1"/>
    <x:col min="2" max="2" width="47.779998779296875" hidden="0" customWidth="1"/>
    <x:col min="3" max="3" width="44.439998626708984" hidden="0" customWidth="1"/>
    <x:col min="4" max="4" width="25.559999465942383" hidden="0" customWidth="1"/>
  </x:cols>
  <x:sheetData>
    <x:row r="1" ht="31.5" customHeight="1">
      <x:c r="A1" s="40" t="str">
        <x:v>Priority</x:v>
      </x:c>
      <x:c r="B1" s="5" t="str">
        <x:v>Likely question</x:v>
      </x:c>
      <x:c r="C1" s="5" t="str">
        <x:v>Required evidence</x:v>
      </x:c>
      <x:c r="D1" s="5" t="str">
        <x:v>Current status</x:v>
      </x:c>
    </x:row>
    <x:row r="2" ht="40.5" customHeight="1">
      <x:c r="A2" s="41" t="n">
        <x:v>1</x:v>
      </x:c>
      <x:c r="B2" s="13" t="str">
        <x:v>What exactly is owned, and where is the right enforceable?</x:v>
      </x:c>
      <x:c r="C2" s="13" t="str">
        <x:v>Country-specific rights matrix</x:v>
      </x:c>
      <x:c r="D2" s="13" t="str">
        <x:v>Missing comprehensively</x:v>
      </x:c>
    </x:row>
    <x:row r="3" ht="40.5" customHeight="1">
      <x:c r="A3" s="42" t="n">
        <x:v>2</x:v>
      </x:c>
      <x:c r="B3" s="14" t="str">
        <x:v>Which product satisfies which claim limitations?</x:v>
      </x:c>
      <x:c r="C3" s="14" t="str">
        <x:v>Independent test and claim chart</x:v>
      </x:c>
      <x:c r="D3" s="14" t="str">
        <x:v>Limited German evidence</x:v>
      </x:c>
    </x:row>
    <x:row r="4" ht="40.5" customHeight="1">
      <x:c r="A4" s="42" t="n">
        <x:v>3</x:v>
      </x:c>
      <x:c r="B4" s="14" t="str">
        <x:v>What are the verified relevant sales?</x:v>
      </x:c>
      <x:c r="C4" s="14" t="str">
        <x:v>Product–country–period net sales</x:v>
      </x:c>
      <x:c r="D4" s="14" t="str">
        <x:v>Missing</x:v>
      </x:c>
    </x:row>
    <x:row r="5" ht="40.5" customHeight="1">
      <x:c r="A5" s="42" t="n">
        <x:v>4</x:v>
      </x:c>
      <x:c r="B5" s="14" t="str">
        <x:v>From where and when does debt-service cash arise?</x:v>
      </x:c>
      <x:c r="C5" s="14" t="str">
        <x:v>Contracts, payments and forecast</x:v>
      </x:c>
      <x:c r="D5" s="14" t="str">
        <x:v>Missing</x:v>
      </x:c>
    </x:row>
    <x:row r="6" ht="40.5" customHeight="1">
      <x:c r="A6" s="43" t="n">
        <x:v>5</x:v>
      </x:c>
      <x:c r="B6" s="15" t="str">
        <x:v>What does the collateral realise in a downside case?</x:v>
      </x:c>
      <x:c r="C6" s="15" t="str">
        <x:v>Independent valuation and realisation path</x:v>
      </x:c>
      <x:c r="D6" s="15" t="str">
        <x:v>Missing</x:v>
      </x:c>
    </x:row>
  </x:sheetData>
  <x:pageMargins left="0.7" right="0.7" top="0.75" bottom="0.75" header="0.3" footer="0.3"/>
  <x:tableParts count="1">
    <x:tablePart xmlns:r="http://schemas.openxmlformats.org/officeDocument/2006/relationships" r:id="R8624f172681e4db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5.559999465942383" hidden="0" customWidth="1"/>
    <x:col min="2" max="2" width="33.33000183105469" hidden="0" customWidth="1"/>
    <x:col min="3" max="3" width="21.110000610351562" hidden="0" customWidth="1"/>
    <x:col min="4" max="4" width="66.66999816894531" hidden="0" customWidth="1"/>
    <x:col min="5" max="5" width="17.780000686645508" hidden="0" customWidth="1"/>
  </x:cols>
  <x:sheetData>
    <x:row r="1" ht="31.5" customHeight="1">
      <x:c r="A1" s="5" t="str">
        <x:v>Source ID</x:v>
      </x:c>
      <x:c r="B1" s="5" t="str">
        <x:v>Publisher</x:v>
      </x:c>
      <x:c r="C1" s="5" t="str">
        <x:v>Source class</x:v>
      </x:c>
      <x:c r="D1" s="5" t="str">
        <x:v>URL</x:v>
      </x:c>
      <x:c r="E1" s="5" t="str">
        <x:v>Retrieved / data as of</x:v>
      </x:c>
    </x:row>
    <x:row r="2" ht="31.5" customHeight="1">
      <x:c r="A2" s="13" t="str">
        <x:v>CA-HC-VAPING-SALES-2024</x:v>
      </x:c>
      <x:c r="B2" s="13" t="str">
        <x:v>Health Canada</x:v>
      </x:c>
      <x:c r="C2" s="13" t="str">
        <x:v>official</x:v>
      </x:c>
      <x:c r="D2" s="13" t="str">
        <x:v>https://health-infobase.canada.ca/substance-use/vaping/sales/</x:v>
      </x:c>
      <x:c r="E2" s="13" t="str">
        <x:v>2026-07-22</x:v>
      </x:c>
    </x:row>
    <x:row r="3" ht="31.5" customHeight="1">
      <x:c r="A3" s="14" t="str">
        <x:v>CNIPA-PUBLIC-QUERY-GUIDANCE</x:v>
      </x:c>
      <x:c r="B3" s="14" t="str">
        <x:v>China National Intellectual Property Administration</x:v>
      </x:c>
      <x:c r="C3" s="14" t="str">
        <x:v>official_guidance</x:v>
      </x:c>
      <x:c r="D3" s="14" t="str">
        <x:v>https://www.cnipa.gov.cn/jact/front/mailpubdetail.do?sysid=16&amp;transactId=495563</x:v>
      </x:c>
      <x:c r="E3" s="14" t="str">
        <x:v>2026-07-22</x:v>
      </x:c>
    </x:row>
    <x:row r="4" ht="31.5" customHeight="1">
      <x:c r="A4" s="14" t="str">
        <x:v>CNIPA-REEXAMINATION-GUIDANCE</x:v>
      </x:c>
      <x:c r="B4" s="14" t="str">
        <x:v>China National Intellectual Property Administration</x:v>
      </x:c>
      <x:c r="C4" s="14" t="str">
        <x:v>official_guidance</x:v>
      </x:c>
      <x:c r="D4" s="14" t="str">
        <x:v>https://www.cnipa.gov.cn/art/2020/6/5/art_1517_92474.html</x:v>
      </x:c>
      <x:c r="E4" s="14" t="str">
        <x:v>2026-07-22</x:v>
      </x:c>
    </x:row>
    <x:row r="5" ht="31.5" customHeight="1">
      <x:c r="A5" s="14" t="str">
        <x:v>DE-BPATG-8NI18-24</x:v>
      </x:c>
      <x:c r="B5" s="14" t="str">
        <x:v>Bundespatentgericht / German federal legal-information service</x:v>
      </x:c>
      <x:c r="C5" s="14" t="str">
        <x:v>official_judgment</x:v>
      </x:c>
      <x:c r="D5" s="14" t="str">
        <x:v>https://www.rechtsprechung-im-internet.de/jportal/?quelle=jlink&amp;docid=JURE269032275&amp;psml=bsjrsprod.psml</x:v>
      </x:c>
      <x:c r="E5" s="14" t="str">
        <x:v>2026-07-22</x:v>
      </x:c>
    </x:row>
    <x:row r="6" ht="31.5" customHeight="1">
      <x:c r="A6" s="14" t="str">
        <x:v>DE-DESTATIS-73411-0003</x:v>
      </x:c>
      <x:c r="B6" s="14" t="str">
        <x:v>Statistisches Bundesamt (Destatis)</x:v>
      </x:c>
      <x:c r="C6" s="14" t="str">
        <x:v>official</x:v>
      </x:c>
      <x:c r="D6" s="14" t="str">
        <x:v>https://genesis.destatis.de/datenbank/online/statistic/73411/table/73411-0003</x:v>
      </x:c>
      <x:c r="E6" s="14" t="str">
        <x:v>2026-07-22</x:v>
      </x:c>
    </x:row>
    <x:row r="7" ht="31.5" customHeight="1">
      <x:c r="A7" s="14" t="str">
        <x:v>DE-LGMUC-7O3341-24</x:v>
      </x:c>
      <x:c r="B7" s="14" t="str">
        <x:v>Landgericht München I / Bavarian legal-information service</x:v>
      </x:c>
      <x:c r="C7" s="14" t="str">
        <x:v>official_judgment</x:v>
      </x:c>
      <x:c r="D7" s="14" t="str">
        <x:v>https://www.gesetze-bayern.de/Content/Document/Y-300-Z-BECKRS-B-2026-N-14206</x:v>
      </x:c>
      <x:c r="E7" s="14" t="str">
        <x:v>2026-07-22</x:v>
      </x:c>
    </x:row>
    <x:row r="8" ht="31.5" customHeight="1">
      <x:c r="A8" s="14" t="str">
        <x:v>EPO-B1-SPECIFICATION</x:v>
      </x:c>
      <x:c r="B8" s="14" t="str">
        <x:v>European Patent Office</x:v>
      </x:c>
      <x:c r="C8" s="14" t="str">
        <x:v>official_patent_publication</x:v>
      </x:c>
      <x:c r="D8" s="14" t="str">
        <x:v>https://data.epo.org/publication-server/rest/v1.2/patents/EP3032975NWB1/document.pdf</x:v>
      </x:c>
      <x:c r="E8" s="14" t="str">
        <x:v>2026-07-22</x:v>
      </x:c>
    </x:row>
    <x:row r="9" ht="31.5" customHeight="1">
      <x:c r="A9" s="14" t="str">
        <x:v>EPO-B2-SPECIFICATION</x:v>
      </x:c>
      <x:c r="B9" s="14" t="str">
        <x:v>European Patent Office</x:v>
      </x:c>
      <x:c r="C9" s="14" t="str">
        <x:v>official_patent_publication</x:v>
      </x:c>
      <x:c r="D9" s="14" t="str">
        <x:v>https://data.epo.org/publication-server/rest/v1.2/patents/EP3032975NWB2/document.pdf</x:v>
      </x:c>
      <x:c r="E9" s="14" t="str">
        <x:v>2026-07-22</x:v>
      </x:c>
    </x:row>
    <x:row r="10" ht="31.5" customHeight="1">
      <x:c r="A10" s="14" t="str">
        <x:v>EPO-IPSCORE</x:v>
      </x:c>
      <x:c r="B10" s="14" t="str">
        <x:v>European Patent Office</x:v>
      </x:c>
      <x:c r="C10" s="14" t="str">
        <x:v>official_guidance</x:v>
      </x:c>
      <x:c r="D10" s="14" t="str">
        <x:v>https://www.epo.org/en/searching-for-patents/business/ipscore</x:v>
      </x:c>
      <x:c r="E10" s="14" t="str">
        <x:v>2026-07-22</x:v>
      </x:c>
    </x:row>
    <x:row r="11" ht="31.5" customHeight="1">
      <x:c r="A11" s="14" t="str">
        <x:v>EPO-NATIONAL-VALIDATION</x:v>
      </x:c>
      <x:c r="B11" s="14" t="str">
        <x:v>European Patent Office</x:v>
      </x:c>
      <x:c r="C11" s="14" t="str">
        <x:v>official_guidance</x:v>
      </x:c>
      <x:c r="D11" s="14" t="str">
        <x:v>https://www.epo.org/en/applying/european/validation</x:v>
      </x:c>
      <x:c r="E11" s="14" t="str">
        <x:v>2026-07-22</x:v>
      </x:c>
    </x:row>
    <x:row r="12" ht="31.5" customHeight="1">
      <x:c r="A12" s="14" t="str">
        <x:v>EPO-REGISTER-DOCLIST</x:v>
      </x:c>
      <x:c r="B12" s="14" t="str">
        <x:v>European Patent Office</x:v>
      </x:c>
      <x:c r="C12" s="14" t="str">
        <x:v>official_register_documents</x:v>
      </x:c>
      <x:c r="D12" s="14" t="str">
        <x:v>https://register.epo.org/application?number=EP14836345&amp;lng=en&amp;tab=doclist</x:v>
      </x:c>
      <x:c r="E12" s="14" t="str">
        <x:v>2026-07-22</x:v>
      </x:c>
    </x:row>
    <x:row r="13" ht="31.5" customHeight="1">
      <x:c r="A13" s="14" t="str">
        <x:v>EPO-REGISTER-EVENT</x:v>
      </x:c>
      <x:c r="B13" s="14" t="str">
        <x:v>European Patent Office</x:v>
      </x:c>
      <x:c r="C13" s="14" t="str">
        <x:v>official_register</x:v>
      </x:c>
      <x:c r="D13" s="14" t="str">
        <x:v>https://register.epo.org/application?number=EP14836345&amp;lng=en&amp;tab=event</x:v>
      </x:c>
      <x:c r="E13" s="14" t="str">
        <x:v>2026-07-22</x:v>
      </x:c>
    </x:row>
    <x:row r="14" ht="31.5" customHeight="1">
      <x:c r="A14" s="14" t="str">
        <x:v>EPO-REGISTER-FAMILY</x:v>
      </x:c>
      <x:c r="B14" s="14" t="str">
        <x:v>European Patent Office</x:v>
      </x:c>
      <x:c r="C14" s="14" t="str">
        <x:v>official_family_register</x:v>
      </x:c>
      <x:c r="D14" s="14" t="str">
        <x:v>https://register.epo.org/application?number=EP14836345&amp;lng=en&amp;tab=family</x:v>
      </x:c>
      <x:c r="E14" s="14" t="str">
        <x:v>2026-07-22</x:v>
      </x:c>
    </x:row>
    <x:row r="15" ht="31.5" customHeight="1">
      <x:c r="A15" s="14" t="str">
        <x:v>EPO-REGISTER-LEGAL</x:v>
      </x:c>
      <x:c r="B15" s="14" t="str">
        <x:v>European Patent Office</x:v>
      </x:c>
      <x:c r="C15" s="14" t="str">
        <x:v>official_register_route</x:v>
      </x:c>
      <x:c r="D15" s="14" t="str">
        <x:v>https://register.epo.org/application?number=EP14836345&amp;lng=en&amp;tab=legal</x:v>
      </x:c>
      <x:c r="E15" s="14" t="str">
        <x:v>2026-07-22</x:v>
      </x:c>
    </x:row>
    <x:row r="16" ht="31.5" customHeight="1">
      <x:c r="A16" s="14" t="str">
        <x:v>EPO-REGISTER-MAIN</x:v>
      </x:c>
      <x:c r="B16" s="14" t="str">
        <x:v>European Patent Office</x:v>
      </x:c>
      <x:c r="C16" s="14" t="str">
        <x:v>official_register</x:v>
      </x:c>
      <x:c r="D16" s="14" t="str">
        <x:v>https://register.epo.org/application?number=EP14836345&amp;lng=en&amp;tab=main</x:v>
      </x:c>
      <x:c r="E16" s="14" t="str">
        <x:v>2026-07-22</x:v>
      </x:c>
    </x:row>
    <x:row r="17" ht="31.5" customHeight="1">
      <x:c r="A17" s="14" t="str">
        <x:v>EU-BRUSSELS-I-BIS</x:v>
      </x:c>
      <x:c r="B17" s="14" t="str">
        <x:v>European Union / EUR-Lex</x:v>
      </x:c>
      <x:c r="C17" s="14" t="str">
        <x:v>official_legislation</x:v>
      </x:c>
      <x:c r="D17" s="14" t="str">
        <x:v>https://eur-lex.europa.eu/legal-content/en/TXT/?uri=CELEX%3A32012R1215</x:v>
      </x:c>
      <x:c r="E17" s="14" t="str">
        <x:v>2026-07-22</x:v>
      </x:c>
    </x:row>
    <x:row r="18" ht="31.5" customHeight="1">
      <x:c r="A18" s="14" t="str">
        <x:v>EU-EC-SWD-2025-560</x:v>
      </x:c>
      <x:c r="B18" s="14" t="str">
        <x:v>European Commission</x:v>
      </x:c>
      <x:c r="C18" s="14" t="str">
        <x:v>official_secondary</x:v>
      </x:c>
      <x:c r="D18" s="14" t="str">
        <x:v>https://eur-lex.europa.eu/legal-content/EN/TXT/?uri=SWD%3A2025%3A0560%3AFIN</x:v>
      </x:c>
      <x:c r="E18" s="14" t="str">
        <x:v>2026-07-24</x:v>
      </x:c>
    </x:row>
    <x:row r="19" ht="31.5" customHeight="1">
      <x:c r="A19" s="14" t="str">
        <x:v>EU-EC-SWD-2026-111</x:v>
      </x:c>
      <x:c r="B19" s="14" t="str">
        <x:v>European Commission</x:v>
      </x:c>
      <x:c r="C19" s="14" t="str">
        <x:v>official_secondary</x:v>
      </x:c>
      <x:c r="D19" s="14" t="str">
        <x:v>https://eur-lex.europa.eu/legal-content/EN/TXT/?uri=SWD%3A2026%3A111%3AFIN</x:v>
      </x:c>
      <x:c r="E19" s="14" t="str">
        <x:v>2026-07-24</x:v>
      </x:c>
    </x:row>
    <x:row r="20" ht="31.5" customHeight="1">
      <x:c r="A20" s="14" t="str">
        <x:v>EU-TPLF-MAPPING</x:v>
      </x:c>
      <x:c r="B20" s="14" t="str">
        <x:v>European Commission</x:v>
      </x:c>
      <x:c r="C20" s="14" t="str">
        <x:v>official_policy_study</x:v>
      </x:c>
      <x:c r="D20" s="14" t="str">
        <x:v>https://commission.europa.eu/strategy-and-policy/policies/justice-and-fundamental-rights/civil-justice/civil-and-commercial-law/third-party-litigation-funding-tplf_en</x:v>
      </x:c>
      <x:c r="E20" s="14" t="str">
        <x:v>2026-07-22</x:v>
      </x:c>
    </x:row>
    <x:row r="21" ht="31.5" customHeight="1">
      <x:c r="A21" s="14" t="str">
        <x:v>FI-TAX-EXCISE-VVT-010-2025</x:v>
      </x:c>
      <x:c r="B21" s="14" t="str">
        <x:v>Finnish Tax Administration</x:v>
      </x:c>
      <x:c r="C21" s="14" t="str">
        <x:v>official</x:v>
      </x:c>
      <x:c r="D21" s="14" t="str">
        <x:v>https://vero2.stat.fi/PXWeb/api/v1/en/Vero/Valmistevero/vvt_010.px</x:v>
      </x:c>
      <x:c r="E21" s="14" t="str">
        <x:v>2026-07-22</x:v>
      </x:c>
    </x:row>
    <x:row r="22" ht="31.5" customHeight="1">
      <x:c r="A22" s="14" t="str">
        <x:v>FORTUNE-GLOBAL-2025</x:v>
      </x:c>
      <x:c r="B22" s="14" t="str">
        <x:v>Fortune Business Insights</x:v>
      </x:c>
      <x:c r="C22" s="14" t="str">
        <x:v>commercial_estimate</x:v>
      </x:c>
      <x:c r="D22" s="14" t="str">
        <x:v>https://www.fortunebusinessinsights.com/e-cigarette-and-vaping-market-114882</x:v>
      </x:c>
      <x:c r="E22" s="14" t="str">
        <x:v>2026-07-22</x:v>
      </x:c>
    </x:row>
    <x:row r="23" ht="31.5" customHeight="1">
      <x:c r="A23" s="14" t="str">
        <x:v>GVR-GLOBAL-2025</x:v>
      </x:c>
      <x:c r="B23" s="14" t="str">
        <x:v>Grand View Research</x:v>
      </x:c>
      <x:c r="C23" s="14" t="str">
        <x:v>commercial_estimate</x:v>
      </x:c>
      <x:c r="D23" s="14" t="str">
        <x:v>https://www.grandviewresearch.com/industry-analysis/e-cigarette-vaping-market</x:v>
      </x:c>
      <x:c r="E23" s="14" t="str">
        <x:v>2026-07-22</x:v>
      </x:c>
    </x:row>
    <x:row r="24" ht="31.5" customHeight="1">
      <x:c r="A24" s="14" t="str">
        <x:v>IMARC-GLOBAL-2025</x:v>
      </x:c>
      <x:c r="B24" s="14" t="str">
        <x:v>IMARC Group</x:v>
      </x:c>
      <x:c r="C24" s="14" t="str">
        <x:v>commercial_estimate</x:v>
      </x:c>
      <x:c r="D24" s="14" t="str">
        <x:v>https://www.imarcgroup.com/e-cigarette-market</x:v>
      </x:c>
      <x:c r="E24" s="14" t="str">
        <x:v>2026-07-22</x:v>
      </x:c>
    </x:row>
    <x:row r="25" ht="31.5" customHeight="1">
      <x:c r="A25" s="14" t="str">
        <x:v>INTASTE-GERMANFLAVOURS-2026</x:v>
      </x:c>
      <x:c r="B25" s="14" t="str">
        <x:v>inTaste.de</x:v>
      </x:c>
      <x:c r="C25" s="14" t="str">
        <x:v>retail_listing</x:v>
      </x:c>
      <x:c r="D25" s="14" t="str">
        <x:v>https://www.intaste.de/pfefferminz-liquid-germanflavours-liquid</x:v>
      </x:c>
      <x:c r="E25" s="14" t="str">
        <x:v>2026-07-22</x:v>
      </x:c>
    </x:row>
    <x:row r="26" ht="31.5" customHeight="1">
      <x:c r="A26" s="14" t="str">
        <x:v>INTASTE-REVOLTAGE-2026</x:v>
      </x:c>
      <x:c r="B26" s="14" t="str">
        <x:v>inTaste.de</x:v>
      </x:c>
      <x:c r="C26" s="14" t="str">
        <x:v>retail_listing</x:v>
      </x:c>
      <x:c r="D26" s="14" t="str">
        <x:v>https://www.intaste.de/tobacco-vanilla-nikotinsalz-revoltage-liquid</x:v>
      </x:c>
      <x:c r="E26" s="14" t="str">
        <x:v>2026-07-22</x:v>
      </x:c>
    </x:row>
    <x:row r="27" ht="31.5" customHeight="1">
      <x:c r="A27" s="14" t="str">
        <x:v>INTASTE-SAMURAI-2026</x:v>
      </x:c>
      <x:c r="B27" s="14" t="str">
        <x:v>inTaste.de</x:v>
      </x:c>
      <x:c r="C27" s="14" t="str">
        <x:v>retail_listing</x:v>
      </x:c>
      <x:c r="D27" s="14" t="str">
        <x:v>https://www.intaste.de/anstand-liquid-samurai-liquid</x:v>
      </x:c>
      <x:c r="E27" s="14" t="str">
        <x:v>2026-07-22</x:v>
      </x:c>
    </x:row>
    <x:row r="28" ht="31.5" customHeight="1">
      <x:c r="A28" s="14" t="str">
        <x:v>IPAU-PATENT-API</x:v>
      </x:c>
      <x:c r="B28" s="14" t="str">
        <x:v>IP Australia</x:v>
      </x:c>
      <x:c r="C28" s="14" t="str">
        <x:v>official_national_api</x:v>
      </x:c>
      <x:c r="D28" s="14" t="str">
        <x:v>https://production.api.ipaustralia.gov.au/public/ipright-search-api/v1/patents/2014307829</x:v>
      </x:c>
      <x:c r="E28" s="14" t="str">
        <x:v>2026-07-22</x:v>
      </x:c>
    </x:row>
    <x:row r="29" ht="31.5" customHeight="1">
      <x:c r="A29" s="14" t="str">
        <x:v>KIPRIS-REGISTER</x:v>
      </x:c>
      <x:c r="B29" s="14" t="str">
        <x:v>Korean Intellectual Property Office / KIPRIS</x:v>
      </x:c>
      <x:c r="C29" s="14" t="str">
        <x:v>official_national_register</x:v>
      </x:c>
      <x:c r="D29" s="14" t="str">
        <x:v>https://www.kipris.or.kr/khome/search/searchResult.do</x:v>
      </x:c>
      <x:c r="E29" s="14" t="str">
        <x:v>2026-07-22</x:v>
      </x:c>
    </x:row>
    <x:row r="30" ht="31.5" customHeight="1">
      <x:c r="A30" s="14" t="str">
        <x:v>NZ-MOH-ANNUAL-RETURNS-2022</x:v>
      </x:c>
      <x:c r="B30" s="14" t="str">
        <x:v>New Zealand Ministry of Health</x:v>
      </x:c>
      <x:c r="C30" s="14" t="str">
        <x:v>official</x:v>
      </x:c>
      <x:c r="D30" s="14" t="str">
        <x:v>https://www.health.govt.nz/regulation-legislation/vaping-herbal-smoking-and-smokeless-tobacco/requirements/complete-a-notifiable-product-annual-return/annual-returns-2022</x:v>
      </x:c>
      <x:c r="E30" s="14" t="str">
        <x:v>2026-07-24</x:v>
      </x:c>
    </x:row>
    <x:row r="31" ht="31.5" customHeight="1">
      <x:c r="A31" s="14" t="str">
        <x:v>NZ-MOH-ANNUAL-RETURNS-2023</x:v>
      </x:c>
      <x:c r="B31" s="14" t="str">
        <x:v>New Zealand Ministry of Health</x:v>
      </x:c>
      <x:c r="C31" s="14" t="str">
        <x:v>official</x:v>
      </x:c>
      <x:c r="D31" s="14" t="str">
        <x:v>https://www.health.govt.nz/regulation-legislation/vaping-herbal-smoking-and-smokeless-tobacco/requirements/complete-a-notifiable-product-annual-return/annual-returns-2023</x:v>
      </x:c>
      <x:c r="E31" s="14" t="str">
        <x:v>2026-07-24</x:v>
      </x:c>
    </x:row>
    <x:row r="32" ht="31.5" customHeight="1">
      <x:c r="A32" s="14" t="str">
        <x:v>NZ-MOH-ANNUAL-RETURNS-2024</x:v>
      </x:c>
      <x:c r="B32" s="14" t="str">
        <x:v>New Zealand Ministry of Health</x:v>
      </x:c>
      <x:c r="C32" s="14" t="str">
        <x:v>official</x:v>
      </x:c>
      <x:c r="D32" s="14" t="str">
        <x:v>https://www.health.govt.nz/regulation-legislation/vaping-herbal-smoking-and-smokeless-tobacco/requirements/complete-a-notifiable-product-annual-return/annual-returns-2024</x:v>
      </x:c>
      <x:c r="E32" s="14" t="str">
        <x:v>2026-07-24</x:v>
      </x:c>
    </x:row>
    <x:row r="33" ht="31.5" customHeight="1">
      <x:c r="A33" s="14" t="str">
        <x:v>PL-SEJM-I07255-O1</x:v>
      </x:c>
      <x:c r="B33" s="14" t="str">
        <x:v>Sejm of the Republic of Poland</x:v>
      </x:c>
      <x:c r="C33" s="14" t="str">
        <x:v>official</x:v>
      </x:c>
      <x:c r="D33" s="14" t="str">
        <x:v>https://api.sejm.gov.pl/sejm/term10/interpellations/attachment/ATTDDEJZ5/i07255-o1.pdf</x:v>
      </x:c>
      <x:c r="E33" s="14" t="str">
        <x:v>2026-07-22</x:v>
      </x:c>
    </x:row>
    <x:row r="34" ht="31.5" customHeight="1">
      <x:c r="A34" s="14" t="str">
        <x:v>PL-SEJM-I17526-O1</x:v>
      </x:c>
      <x:c r="B34" s="14" t="str">
        <x:v>Sejm of the Republic of Poland</x:v>
      </x:c>
      <x:c r="C34" s="14" t="str">
        <x:v>official</x:v>
      </x:c>
      <x:c r="D34" s="14" t="str">
        <x:v>https://api.sejm.gov.pl/sejm/term10/interpellations/attachment/ATTDVKHSJ/i17526-o1.pdf</x:v>
      </x:c>
      <x:c r="E34" s="14" t="str">
        <x:v>2026-07-22</x:v>
      </x:c>
    </x:row>
    <x:row r="35" ht="31.5" customHeight="1">
      <x:c r="A35" s="14" t="str">
        <x:v>PRH-FI-REGISTER</x:v>
      </x:c>
      <x:c r="B35" s="14" t="str">
        <x:v>Finnish Patent and Registration Office</x:v>
      </x:c>
      <x:c r="C35" s="14" t="str">
        <x:v>official_national_register</x:v>
      </x:c>
      <x:c r="D35" s="14" t="str">
        <x:v>https://patenttitietopalvelu.prh.fi/en/patent/20135829</x:v>
      </x:c>
      <x:c r="E35" s="14" t="str">
        <x:v>2026-07-22</x:v>
      </x:c>
    </x:row>
    <x:row r="36" ht="31.5" customHeight="1">
      <x:c r="A36" s="14" t="str">
        <x:v>ROSPATENT-REGISTER</x:v>
      </x:c>
      <x:c r="B36" s="14" t="str">
        <x:v>Federal Service for Intellectual Property (Rospatent)</x:v>
      </x:c>
      <x:c r="C36" s="14" t="str">
        <x:v>official_national_register</x:v>
      </x:c>
      <x:c r="D36" s="14" t="str">
        <x:v>https://new.fips.ru/registers-doc-view/fips_servlet?DB=RUPAT&amp;DocNumber=2600093&amp;TypeFile=html</x:v>
      </x:c>
      <x:c r="E36" s="14" t="str">
        <x:v>2026-07-22</x:v>
      </x:c>
    </x:row>
    <x:row r="37" ht="31.5" customHeight="1">
      <x:c r="A37" s="14" t="str">
        <x:v>RPAD-KANANEN-2013</x:v>
      </x:c>
      <x:c r="B37" s="14" t="str">
        <x:v>RPad.tv</x:v>
      </x:c>
      <x:c r="C37" s="14" t="str">
        <x:v>secondary_interview</x:v>
      </x:c>
      <x:c r="D37" s="14" t="str">
        <x:v>https://rpad.tv/2013/09/23/vaping-diaries-108-electric-angel-owner-mika-kananen-interview/</x:v>
      </x:c>
      <x:c r="E37" s="14" t="str">
        <x:v>2026-07-22</x:v>
      </x:c>
    </x:row>
    <x:row r="38" ht="31.5" customHeight="1">
      <x:c r="A38" s="14" t="str">
        <x:v>RPX-CN-225669</x:v>
      </x:c>
      <x:c r="B38" s="14" t="str">
        <x:v>RPX Insight</x:v>
      </x:c>
      <x:c r="C38" s="14" t="str">
        <x:v>secondary_litigation_database</x:v>
      </x:c>
      <x:c r="D38" s="14" t="str">
        <x:v>https://litigation.rpxcorp.com/china/prb/5153434-picsen-company-v-pixan-oy-of-365</x:v>
      </x:c>
      <x:c r="E38" s="14" t="str">
        <x:v>2026-07-22</x:v>
      </x:c>
    </x:row>
    <x:row r="39" ht="31.5" customHeight="1">
      <x:c r="A39" s="14" t="str">
        <x:v>SE-GOV-BERAKNINGSKONVENTIONER-2026</x:v>
      </x:c>
      <x:c r="B39" s="14" t="str">
        <x:v>Government Offices of Sweden</x:v>
      </x:c>
      <x:c r="C39" s="14" t="str">
        <x:v>official</x:v>
      </x:c>
      <x:c r="D39" s="14" t="str">
        <x:v>https://www.regeringen.se/contentassets/1ed01e00001b42e5ad8d47433db63ece/berakningskonventioner_2026.pdf</x:v>
      </x:c>
      <x:c r="E39" s="14" t="str">
        <x:v>2026-07-22</x:v>
      </x:c>
    </x:row>
    <x:row r="40" ht="31.5" customHeight="1">
      <x:c r="A40" s="14" t="str">
        <x:v>UPCA-ARTICLE-83</x:v>
      </x:c>
      <x:c r="B40" s="14" t="str">
        <x:v>European Patent Office / Agreement on a Unified Patent Court</x:v>
      </x:c>
      <x:c r="C40" s="14" t="str">
        <x:v>official_treaty_text</x:v>
      </x:c>
      <x:c r="D40" s="14" t="str">
        <x:v>https://www.epo.org/en/legal/up-upc/2022/upca_83.html</x:v>
      </x:c>
      <x:c r="E40" s="14" t="str">
        <x:v>2026-07-22</x:v>
      </x:c>
    </x:row>
    <x:row r="41" ht="31.5" customHeight="1">
      <x:c r="A41" s="14" t="str">
        <x:v>USPTO-ASSIGNMENT</x:v>
      </x:c>
      <x:c r="B41" s="14" t="str">
        <x:v>United States Patent and Trademark Office</x:v>
      </x:c>
      <x:c r="C41" s="14" t="str">
        <x:v>official_national_assignment_route</x:v>
      </x:c>
      <x:c r="D41" s="14" t="str">
        <x:v>https://assignment.uspto.gov/patent/index.html#/patent/search/resultFilter?searchInput=10306923</x:v>
      </x:c>
      <x:c r="E41" s="14" t="str">
        <x:v>2026-07-22</x:v>
      </x:c>
    </x:row>
    <x:row r="42" ht="31.5" customHeight="1">
      <x:c r="A42" s="14" t="str">
        <x:v>USPTO-MAINTENANCE</x:v>
      </x:c>
      <x:c r="B42" s="14" t="str">
        <x:v>United States Patent and Trademark Office</x:v>
      </x:c>
      <x:c r="C42" s="14" t="str">
        <x:v>official_national_fee_route</x:v>
      </x:c>
      <x:c r="D42" s="14" t="str">
        <x:v>https://fees.uspto.gov/MaintenanceFees/fees/details?patentNumber=10306923</x:v>
      </x:c>
      <x:c r="E42" s="14" t="str">
        <x:v>2026-07-22</x:v>
      </x:c>
    </x:row>
    <x:row r="43" ht="31.5" customHeight="1">
      <x:c r="A43" s="14" t="str">
        <x:v>USPTO-PATENT-CENTER</x:v>
      </x:c>
      <x:c r="B43" s="14" t="str">
        <x:v>United States Patent and Trademark Office</x:v>
      </x:c>
      <x:c r="C43" s="14" t="str">
        <x:v>official_national_register_route</x:v>
      </x:c>
      <x:c r="D43" s="14" t="str">
        <x:v>https://patentcenter.uspto.gov/applications/14911851</x:v>
      </x:c>
      <x:c r="E43" s="14" t="str">
        <x:v>2026-07-22</x:v>
      </x:c>
    </x:row>
    <x:row r="44" ht="31.5" customHeight="1">
      <x:c r="A44" s="14" t="str">
        <x:v>WAYBACK-EA-ABOUT-2012</x:v>
      </x:c>
      <x:c r="B44" s="14" t="str">
        <x:v>Electric Angel Oy webpage archived by Internet Archive</x:v>
      </x:c>
      <x:c r="C44" s="14" t="str">
        <x:v>archived_company_statement</x:v>
      </x:c>
      <x:c r="D44" s="14" t="str">
        <x:v>https://web.archive.org/web/20121206055248/http://www.electricangel.fi:80/page/4/about-us</x:v>
      </x:c>
      <x:c r="E44" s="14" t="str">
        <x:v>2026-07-22</x:v>
      </x:c>
    </x:row>
    <x:row r="45" ht="31.5" customHeight="1">
      <x:c r="A45" s="14" t="str">
        <x:v>WAYBACK-EA-INVICTUS-2013</x:v>
      </x:c>
      <x:c r="B45" s="14" t="str">
        <x:v>Electric Angel Oy webpage archived by Internet Archive</x:v>
      </x:c>
      <x:c r="C45" s="14" t="str">
        <x:v>archived_company_statement</x:v>
      </x:c>
      <x:c r="D45" s="14" t="str">
        <x:v>https://web.archive.org/web/20131216064916/http://www.electricangel.fi:80/news/3/ea-invictus</x:v>
      </x:c>
      <x:c r="E45" s="14" t="str">
        <x:v>2026-07-22</x:v>
      </x:c>
    </x:row>
    <x:row r="46" ht="31.5" customHeight="1">
      <x:c r="A46" s="14" t="str">
        <x:v>WIPO-ASSIGNMENT-LICENSING</x:v>
      </x:c>
      <x:c r="B46" s="14" t="str">
        <x:v>World Intellectual Property Organization</x:v>
      </x:c>
      <x:c r="C46" s="14" t="str">
        <x:v>official_guidance</x:v>
      </x:c>
      <x:c r="D46" s="14" t="str">
        <x:v>https://www.wipo.int/ja/web/business/assignment-licensing</x:v>
      </x:c>
      <x:c r="E46" s="14" t="str">
        <x:v>2026-07-22</x:v>
      </x:c>
    </x:row>
    <x:row r="47" ht="31.5" customHeight="1">
      <x:c r="A47" s="14" t="str">
        <x:v>WIPO-DISPUTE-RESOLUTION</x:v>
      </x:c>
      <x:c r="B47" s="14" t="str">
        <x:v>World Intellectual Property Organization</x:v>
      </x:c>
      <x:c r="C47" s="14" t="str">
        <x:v>official_guidance</x:v>
      </x:c>
      <x:c r="D47" s="14" t="str">
        <x:v>https://www.wipo.int/en/web/business/settle-ip-disputes</x:v>
      </x:c>
      <x:c r="E47" s="14" t="str">
        <x:v>2026-07-22</x:v>
      </x:c>
    </x:row>
    <x:row r="48" ht="31.5" customHeight="1">
      <x:c r="A48" s="14" t="str">
        <x:v>WIPO-IP-FINANCE</x:v>
      </x:c>
      <x:c r="B48" s="14" t="str">
        <x:v>World Intellectual Property Organization</x:v>
      </x:c>
      <x:c r="C48" s="14" t="str">
        <x:v>official_guidance</x:v>
      </x:c>
      <x:c r="D48" s="14" t="str">
        <x:v>https://www.wipo.int/en/web/ip-financing</x:v>
      </x:c>
      <x:c r="E48" s="14" t="str">
        <x:v>2026-07-22</x:v>
      </x:c>
    </x:row>
    <x:row r="49" ht="31.5" customHeight="1">
      <x:c r="A49" s="14" t="str">
        <x:v>WIPO-IP-VALUATION</x:v>
      </x:c>
      <x:c r="B49" s="14" t="str">
        <x:v>World Intellectual Property Organization</x:v>
      </x:c>
      <x:c r="C49" s="14" t="str">
        <x:v>official_guidance</x:v>
      </x:c>
      <x:c r="D49" s="14" t="str">
        <x:v>https://www.wipo.int/en/web/business/ip-valuation</x:v>
      </x:c>
      <x:c r="E49" s="14" t="str">
        <x:v>2026-07-22</x:v>
      </x:c>
    </x:row>
    <x:row r="50" ht="31.5" customHeight="1">
      <x:c r="A50" s="14" t="str">
        <x:v>WIPO-PCT-NATIONAL-PHASE</x:v>
      </x:c>
      <x:c r="B50" s="14" t="str">
        <x:v>World Intellectual Property Organization</x:v>
      </x:c>
      <x:c r="C50" s="14" t="str">
        <x:v>official_guidance</x:v>
      </x:c>
      <x:c r="D50" s="14" t="str">
        <x:v>https://www.wipo.int/en/web/pct-system/national-phase</x:v>
      </x:c>
      <x:c r="E50" s="14" t="str">
        <x:v>2026-07-22</x:v>
      </x:c>
    </x:row>
    <x:row r="51" ht="31.5" customHeight="1">
      <x:c r="A51" s="14" t="str">
        <x:v>YTJ-ELECTRIC-ANGEL</x:v>
      </x:c>
      <x:c r="B51" s="14" t="str">
        <x:v>Finnish Patent and Registration Office / Finnish Tax Administration</x:v>
      </x:c>
      <x:c r="C51" s="14" t="str">
        <x:v>official_company_register</x:v>
      </x:c>
      <x:c r="D51" s="14" t="str">
        <x:v>https://avoindata.prh.fi/opendata-ytj-api/v3/companies?businessId=2498114-9</x:v>
      </x:c>
      <x:c r="E51" s="14" t="str">
        <x:v>2026-07-22</x:v>
      </x:c>
    </x:row>
    <x:row r="52" ht="31.5" customHeight="1">
      <x:c r="A52" s="14" t="str">
        <x:v>YTJ-PIXAN</x:v>
      </x:c>
      <x:c r="B52" s="14" t="str">
        <x:v>Finnish Patent and Registration Office / Finnish Tax Administration</x:v>
      </x:c>
      <x:c r="C52" s="14" t="str">
        <x:v>official_company_register</x:v>
      </x:c>
      <x:c r="D52" s="14" t="str">
        <x:v>https://avoindata.prh.fi/opendata-ytj-api/v3/companies?businessId=2632380-1</x:v>
      </x:c>
      <x:c r="E52" s="14" t="str">
        <x:v>2026-07-22</x:v>
      </x:c>
    </x:row>
    <x:row r="53" ht="31.5" customHeight="1">
      <x:c r="A53" s="14" t="str">
        <x:v>REGISTER-REFERENCE-BC2CDD0708D5</x:v>
      </x:c>
      <x:c r="B53" s="14" t="str">
        <x:v>data-api.ecb.europa.eu</x:v>
      </x:c>
      <x:c r="C53" s="14" t="str">
        <x:v>register_reference</x:v>
      </x:c>
      <x:c r="D53" s="14" t="str">
        <x:v>https://data-api.ecb.europa.eu/service/data/EXR/A.CAD.EUR.SP00.A?startPeriod=2019&amp;endPeriod=2019&amp;format=csvdata</x:v>
      </x:c>
      <x:c r="E53" s="14" t="str">
        <x:v>2026-07-27</x:v>
      </x:c>
    </x:row>
    <x:row r="54" ht="31.5" customHeight="1">
      <x:c r="A54" s="14" t="str">
        <x:v>REGISTER-REFERENCE-7264539499F0</x:v>
      </x:c>
      <x:c r="B54" s="14" t="str">
        <x:v>data-api.ecb.europa.eu</x:v>
      </x:c>
      <x:c r="C54" s="14" t="str">
        <x:v>register_reference</x:v>
      </x:c>
      <x:c r="D54" s="14" t="str">
        <x:v>https://data-api.ecb.europa.eu/service/data/EXR/A.CAD.EUR.SP00.A?startPeriod=2020&amp;endPeriod=2020&amp;format=csvdata</x:v>
      </x:c>
      <x:c r="E54" s="14" t="str">
        <x:v>2026-07-27</x:v>
      </x:c>
    </x:row>
    <x:row r="55" ht="31.5" customHeight="1">
      <x:c r="A55" s="14" t="str">
        <x:v>REGISTER-REFERENCE-2580DD0733C9</x:v>
      </x:c>
      <x:c r="B55" s="14" t="str">
        <x:v>data-api.ecb.europa.eu</x:v>
      </x:c>
      <x:c r="C55" s="14" t="str">
        <x:v>register_reference</x:v>
      </x:c>
      <x:c r="D55" s="14" t="str">
        <x:v>https://data-api.ecb.europa.eu/service/data/EXR/A.CAD.EUR.SP00.A?startPeriod=2021&amp;endPeriod=2021&amp;format=csvdata</x:v>
      </x:c>
      <x:c r="E55" s="14" t="str">
        <x:v>2026-07-27</x:v>
      </x:c>
    </x:row>
    <x:row r="56" ht="31.5" customHeight="1">
      <x:c r="A56" s="14" t="str">
        <x:v>REGISTER-REFERENCE-38DD93023815</x:v>
      </x:c>
      <x:c r="B56" s="14" t="str">
        <x:v>data-api.ecb.europa.eu</x:v>
      </x:c>
      <x:c r="C56" s="14" t="str">
        <x:v>register_reference</x:v>
      </x:c>
      <x:c r="D56" s="14" t="str">
        <x:v>https://data-api.ecb.europa.eu/service/data/EXR/A.CAD.EUR.SP00.A?startPeriod=2022&amp;endPeriod=2022&amp;format=csvdata</x:v>
      </x:c>
      <x:c r="E56" s="14" t="str">
        <x:v>2026-07-27</x:v>
      </x:c>
    </x:row>
    <x:row r="57" ht="31.5" customHeight="1">
      <x:c r="A57" s="14" t="str">
        <x:v>REGISTER-REFERENCE-72D82058EA8A</x:v>
      </x:c>
      <x:c r="B57" s="14" t="str">
        <x:v>data-api.ecb.europa.eu</x:v>
      </x:c>
      <x:c r="C57" s="14" t="str">
        <x:v>register_reference</x:v>
      </x:c>
      <x:c r="D57" s="14" t="str">
        <x:v>https://data-api.ecb.europa.eu/service/data/EXR/A.CAD.EUR.SP00.A?startPeriod=2023&amp;endPeriod=2023&amp;format=csvdata</x:v>
      </x:c>
      <x:c r="E57" s="14" t="str">
        <x:v>2026-07-27</x:v>
      </x:c>
    </x:row>
    <x:row r="58" ht="31.5" customHeight="1">
      <x:c r="A58" s="14" t="str">
        <x:v>REGISTER-REFERENCE-E8408060156E</x:v>
      </x:c>
      <x:c r="B58" s="14" t="str">
        <x:v>data-api.ecb.europa.eu</x:v>
      </x:c>
      <x:c r="C58" s="14" t="str">
        <x:v>register_reference</x:v>
      </x:c>
      <x:c r="D58" s="14" t="str">
        <x:v>https://data-api.ecb.europa.eu/service/data/EXR/A.CAD.EUR.SP00.A?startPeriod=2024&amp;endPeriod=2024&amp;format=csvdata</x:v>
      </x:c>
      <x:c r="E58" s="14" t="str">
        <x:v>2026-07-27</x:v>
      </x:c>
    </x:row>
    <x:row r="59" ht="31.5" customHeight="1">
      <x:c r="A59" s="14" t="str">
        <x:v>REGISTER-REFERENCE-ACB549D404B8</x:v>
      </x:c>
      <x:c r="B59" s="14" t="str">
        <x:v>data-api.ecb.europa.eu</x:v>
      </x:c>
      <x:c r="C59" s="14" t="str">
        <x:v>register_reference</x:v>
      </x:c>
      <x:c r="D59" s="14" t="str">
        <x:v>https://data-api.ecb.europa.eu/service/data/EXR/A.CAD.EUR.SP00.A?startPeriod=2025&amp;endPeriod=2025&amp;format=csvdata</x:v>
      </x:c>
      <x:c r="E59" s="14" t="str">
        <x:v>2026-07-27</x:v>
      </x:c>
    </x:row>
    <x:row r="60" ht="31.5" customHeight="1">
      <x:c r="A60" s="14" t="str">
        <x:v>REGISTER-REFERENCE-2FB6E2117AD7</x:v>
      </x:c>
      <x:c r="B60" s="14" t="str">
        <x:v>data-api.ecb.europa.eu</x:v>
      </x:c>
      <x:c r="C60" s="14" t="str">
        <x:v>register_reference</x:v>
      </x:c>
      <x:c r="D60" s="14" t="str">
        <x:v>https://data-api.ecb.europa.eu/service/data/EXR/A.NZD.EUR.SP00.A?startPeriod=2022&amp;endPeriod=2022&amp;format=csvdata</x:v>
      </x:c>
      <x:c r="E60" s="14" t="str">
        <x:v>2026-07-27</x:v>
      </x:c>
    </x:row>
    <x:row r="61" ht="31.5" customHeight="1">
      <x:c r="A61" s="14" t="str">
        <x:v>REGISTER-REFERENCE-8FEBAD85B03E</x:v>
      </x:c>
      <x:c r="B61" s="14" t="str">
        <x:v>data-api.ecb.europa.eu</x:v>
      </x:c>
      <x:c r="C61" s="14" t="str">
        <x:v>register_reference</x:v>
      </x:c>
      <x:c r="D61" s="14" t="str">
        <x:v>https://data-api.ecb.europa.eu/service/data/EXR/A.NZD.EUR.SP00.A?startPeriod=2023&amp;endPeriod=2023&amp;format=csvdata</x:v>
      </x:c>
      <x:c r="E61" s="14" t="str">
        <x:v>2026-07-27</x:v>
      </x:c>
    </x:row>
    <x:row r="62" ht="31.5" customHeight="1">
      <x:c r="A62" s="14" t="str">
        <x:v>REGISTER-REFERENCE-37CBB91A050A</x:v>
      </x:c>
      <x:c r="B62" s="14" t="str">
        <x:v>data-api.ecb.europa.eu</x:v>
      </x:c>
      <x:c r="C62" s="14" t="str">
        <x:v>register_reference</x:v>
      </x:c>
      <x:c r="D62" s="14" t="str">
        <x:v>https://data-api.ecb.europa.eu/service/data/EXR/A.NZD.EUR.SP00.A?startPeriod=2024&amp;endPeriod=2024&amp;format=csvdata</x:v>
      </x:c>
      <x:c r="E62" s="14" t="str">
        <x:v>2026-07-27</x:v>
      </x:c>
    </x:row>
    <x:row r="63" ht="31.5" customHeight="1">
      <x:c r="A63" s="14" t="str">
        <x:v>REGISTER-REFERENCE-54AB30A87D3D</x:v>
      </x:c>
      <x:c r="B63" s="14" t="str">
        <x:v>data-api.ecb.europa.eu</x:v>
      </x:c>
      <x:c r="C63" s="14" t="str">
        <x:v>register_reference</x:v>
      </x:c>
      <x:c r="D63" s="14" t="str">
        <x:v>https://data-api.ecb.europa.eu/service/data/EXR/A.PLN.EUR.SP00.A?startPeriod=2025&amp;endPeriod=2025&amp;format=csvdata</x:v>
      </x:c>
      <x:c r="E63" s="14" t="str">
        <x:v>2026-07-27</x:v>
      </x:c>
    </x:row>
    <x:row r="64" ht="31.5" customHeight="1">
      <x:c r="A64" s="14" t="str">
        <x:v>REGISTER-REFERENCE-4B9D48C385C9</x:v>
      </x:c>
      <x:c r="B64" s="14" t="str">
        <x:v>data-api.ecb.europa.eu</x:v>
      </x:c>
      <x:c r="C64" s="14" t="str">
        <x:v>register_reference</x:v>
      </x:c>
      <x:c r="D64" s="14" t="str">
        <x:v>https://data-api.ecb.europa.eu/service/data/EXR/A.SEK.EUR.SP00.A?startPeriod=2024&amp;endPeriod=2024&amp;format=csvdata</x:v>
      </x:c>
      <x:c r="E64" s="14" t="str">
        <x:v>2026-07-27</x:v>
      </x:c>
    </x:row>
    <x:row r="65" ht="31.5" customHeight="1">
      <x:c r="A65" s="14" t="str">
        <x:v>REGISTER-REFERENCE-97704C5CE7D4</x:v>
      </x:c>
      <x:c r="B65" s="14" t="str">
        <x:v>data-api.ecb.europa.eu</x:v>
      </x:c>
      <x:c r="C65" s="14" t="str">
        <x:v>register_reference</x:v>
      </x:c>
      <x:c r="D65" s="14" t="str">
        <x:v>https://data-api.ecb.europa.eu/service/data/EXR/A.USD.EUR.SP00.A?startPeriod=2015&amp;endPeriod=2015&amp;format=csvdata</x:v>
      </x:c>
      <x:c r="E65" s="14" t="str">
        <x:v>2026-07-27</x:v>
      </x:c>
    </x:row>
    <x:row r="66" ht="31.5" customHeight="1">
      <x:c r="A66" s="14" t="str">
        <x:v>REGISTER-REFERENCE-EF5511CEAE3C</x:v>
      </x:c>
      <x:c r="B66" s="14" t="str">
        <x:v>data-api.ecb.europa.eu</x:v>
      </x:c>
      <x:c r="C66" s="14" t="str">
        <x:v>register_reference</x:v>
      </x:c>
      <x:c r="D66" s="14" t="str">
        <x:v>https://data-api.ecb.europa.eu/service/data/EXR/A.USD.EUR.SP00.A?startPeriod=2016&amp;endPeriod=2016&amp;format=csvdata</x:v>
      </x:c>
      <x:c r="E66" s="14" t="str">
        <x:v>2026-07-27</x:v>
      </x:c>
    </x:row>
    <x:row r="67" ht="31.5" customHeight="1">
      <x:c r="A67" s="14" t="str">
        <x:v>REGISTER-REFERENCE-15452EF50F15</x:v>
      </x:c>
      <x:c r="B67" s="14" t="str">
        <x:v>data-api.ecb.europa.eu</x:v>
      </x:c>
      <x:c r="C67" s="14" t="str">
        <x:v>register_reference</x:v>
      </x:c>
      <x:c r="D67" s="14" t="str">
        <x:v>https://data-api.ecb.europa.eu/service/data/EXR/A.USD.EUR.SP00.A?startPeriod=2017&amp;endPeriod=2017&amp;format=csvdata</x:v>
      </x:c>
      <x:c r="E67" s="14" t="str">
        <x:v>2026-07-27</x:v>
      </x:c>
    </x:row>
    <x:row r="68" ht="31.5" customHeight="1">
      <x:c r="A68" s="14" t="str">
        <x:v>REGISTER-REFERENCE-9C7C0F0FD33F</x:v>
      </x:c>
      <x:c r="B68" s="14" t="str">
        <x:v>data-api.ecb.europa.eu</x:v>
      </x:c>
      <x:c r="C68" s="14" t="str">
        <x:v>register_reference</x:v>
      </x:c>
      <x:c r="D68" s="14" t="str">
        <x:v>https://data-api.ecb.europa.eu/service/data/EXR/A.USD.EUR.SP00.A?startPeriod=2018&amp;endPeriod=2018&amp;format=csvdata</x:v>
      </x:c>
      <x:c r="E68" s="14" t="str">
        <x:v>2026-07-27</x:v>
      </x:c>
    </x:row>
    <x:row r="69" ht="31.5" customHeight="1">
      <x:c r="A69" s="14" t="str">
        <x:v>REGISTER-REFERENCE-82A9C0A0E9C4</x:v>
      </x:c>
      <x:c r="B69" s="14" t="str">
        <x:v>data-api.ecb.europa.eu</x:v>
      </x:c>
      <x:c r="C69" s="14" t="str">
        <x:v>register_reference</x:v>
      </x:c>
      <x:c r="D69" s="14" t="str">
        <x:v>https://data-api.ecb.europa.eu/service/data/EXR/A.USD.EUR.SP00.A?startPeriod=2019&amp;endPeriod=2019&amp;format=csvdata</x:v>
      </x:c>
      <x:c r="E69" s="14" t="str">
        <x:v>2026-07-27</x:v>
      </x:c>
    </x:row>
    <x:row r="70" ht="31.5" customHeight="1">
      <x:c r="A70" s="14" t="str">
        <x:v>REGISTER-REFERENCE-25E2E410922F</x:v>
      </x:c>
      <x:c r="B70" s="14" t="str">
        <x:v>data-api.ecb.europa.eu</x:v>
      </x:c>
      <x:c r="C70" s="14" t="str">
        <x:v>register_reference</x:v>
      </x:c>
      <x:c r="D70" s="14" t="str">
        <x:v>https://data-api.ecb.europa.eu/service/data/EXR/A.USD.EUR.SP00.A?startPeriod=2020&amp;endPeriod=2020&amp;format=csvdata</x:v>
      </x:c>
      <x:c r="E70" s="14" t="str">
        <x:v>2026-07-27</x:v>
      </x:c>
    </x:row>
    <x:row r="71" ht="31.5" customHeight="1">
      <x:c r="A71" s="14" t="str">
        <x:v>REGISTER-REFERENCE-74211110370B</x:v>
      </x:c>
      <x:c r="B71" s="14" t="str">
        <x:v>data-api.ecb.europa.eu</x:v>
      </x:c>
      <x:c r="C71" s="14" t="str">
        <x:v>register_reference</x:v>
      </x:c>
      <x:c r="D71" s="14" t="str">
        <x:v>https://data-api.ecb.europa.eu/service/data/EXR/A.USD.EUR.SP00.A?startPeriod=2021&amp;endPeriod=2021&amp;format=csvdata</x:v>
      </x:c>
      <x:c r="E71" s="14" t="str">
        <x:v>2026-07-27</x:v>
      </x:c>
    </x:row>
    <x:row r="72" ht="31.5" customHeight="1">
      <x:c r="A72" s="14" t="str">
        <x:v>REGISTER-REFERENCE-59446D8EB279</x:v>
      </x:c>
      <x:c r="B72" s="14" t="str">
        <x:v>data-api.ecb.europa.eu</x:v>
      </x:c>
      <x:c r="C72" s="14" t="str">
        <x:v>register_reference</x:v>
      </x:c>
      <x:c r="D72" s="14" t="str">
        <x:v>https://data-api.ecb.europa.eu/service/data/EXR/A.USD.EUR.SP00.A?startPeriod=2022&amp;endPeriod=2022&amp;format=csvdata</x:v>
      </x:c>
      <x:c r="E72" s="14" t="str">
        <x:v>2026-07-27</x:v>
      </x:c>
    </x:row>
    <x:row r="73" ht="31.5" customHeight="1">
      <x:c r="A73" s="14" t="str">
        <x:v>REGISTER-REFERENCE-BFB2E2E1B4A3</x:v>
      </x:c>
      <x:c r="B73" s="14" t="str">
        <x:v>data-api.ecb.europa.eu</x:v>
      </x:c>
      <x:c r="C73" s="14" t="str">
        <x:v>register_reference</x:v>
      </x:c>
      <x:c r="D73" s="14" t="str">
        <x:v>https://data-api.ecb.europa.eu/service/data/EXR/A.USD.EUR.SP00.A?startPeriod=2023&amp;endPeriod=2023&amp;format=csvdata</x:v>
      </x:c>
      <x:c r="E73" s="14" t="str">
        <x:v>2026-07-27</x:v>
      </x:c>
    </x:row>
    <x:row r="74" ht="31.5" customHeight="1">
      <x:c r="A74" s="14" t="str">
        <x:v>REGISTER-REFERENCE-D26C27B033B0</x:v>
      </x:c>
      <x:c r="B74" s="14" t="str">
        <x:v>data-api.ecb.europa.eu</x:v>
      </x:c>
      <x:c r="C74" s="14" t="str">
        <x:v>register_reference</x:v>
      </x:c>
      <x:c r="D74" s="14" t="str">
        <x:v>https://data-api.ecb.europa.eu/service/data/EXR/A.USD.EUR.SP00.A?startPeriod=2024&amp;endPeriod=2024&amp;format=csvdata</x:v>
      </x:c>
      <x:c r="E74" s="14" t="str">
        <x:v>2026-07-27</x:v>
      </x:c>
    </x:row>
    <x:row r="75" ht="31.5" customHeight="1">
      <x:c r="A75" s="14" t="str">
        <x:v>REGISTER-REFERENCE-32690599750D</x:v>
      </x:c>
      <x:c r="B75" s="14" t="str">
        <x:v>data-api.ecb.europa.eu</x:v>
      </x:c>
      <x:c r="C75" s="14" t="str">
        <x:v>register_reference</x:v>
      </x:c>
      <x:c r="D75" s="14" t="str">
        <x:v>https://data-api.ecb.europa.eu/service/data/EXR/A.USD.EUR.SP00.A?startPeriod=2025&amp;endPeriod=2025&amp;format=csvdata</x:v>
      </x:c>
      <x:c r="E75" s="14" t="str">
        <x:v>2026-07-27</x:v>
      </x:c>
    </x:row>
    <x:row r="76" ht="31.5" customHeight="1">
      <x:c r="A76" s="14" t="str">
        <x:v>REGISTER-REFERENCE-9B93C76EF890</x:v>
      </x:c>
      <x:c r="B76" s="14" t="str">
        <x:v>data.ecb.europa.eu</x:v>
      </x:c>
      <x:c r="C76" s="14" t="str">
        <x:v>register_reference</x:v>
      </x:c>
      <x:c r="D76" s="14" t="str">
        <x:v>https://data.ecb.europa.eu/data/datasets/exr/data-information</x:v>
      </x:c>
      <x:c r="E76" s="14" t="str">
        <x:v>2026-07-27</x:v>
      </x:c>
    </x:row>
    <x:row r="77" ht="31.5" customHeight="1">
      <x:c r="A77" s="14" t="str">
        <x:v>REGISTER-REFERENCE-2DA87527D51F</x:v>
      </x:c>
      <x:c r="B77" s="14" t="str">
        <x:v>datahelpdesk.worldbank.org</x:v>
      </x:c>
      <x:c r="C77" s="14" t="str">
        <x:v>register_reference</x:v>
      </x:c>
      <x:c r="D77" s="14" t="str">
        <x:v>https://datahelpdesk.worldbank.org/knowledgebase/articles/898581-api-basic-call-structures</x:v>
      </x:c>
      <x:c r="E77" s="14" t="str">
        <x:v>2026-07-27</x:v>
      </x:c>
    </x:row>
    <x:row r="78" ht="31.5" customHeight="1">
      <x:c r="A78" s="14" t="str">
        <x:v>REGISTER-REFERENCE-77110A089CB9</x:v>
      </x:c>
      <x:c r="B78" s="14" t="str">
        <x:v>laws-lois.justice.gc.ca</x:v>
      </x:c>
      <x:c r="C78" s="14" t="str">
        <x:v>register_reference</x:v>
      </x:c>
      <x:c r="D78" s="14" t="str">
        <x:v>https://laws-lois.justice.gc.ca/eng/regulations/SOR-2023-123/FullText.html</x:v>
      </x:c>
      <x:c r="E78" s="14" t="str">
        <x:v>2026-07-27</x:v>
      </x:c>
    </x:row>
    <x:row r="79" ht="31.5" customHeight="1">
      <x:c r="A79" s="14" t="str">
        <x:v>REGISTER-REFERENCE-50ED634F402A</x:v>
      </x:c>
      <x:c r="B79" s="14" t="str">
        <x:v>ecb.europa.eu</x:v>
      </x:c>
      <x:c r="C79" s="14" t="str">
        <x:v>register_reference</x:v>
      </x:c>
      <x:c r="D79" s="14" t="str">
        <x:v>https://www.ecb.europa.eu/stats/policy_and_exchange_rates/euro_reference_exchange_rates/html/index.en.html</x:v>
      </x:c>
      <x:c r="E79" s="14" t="str">
        <x:v>2026-07-27</x:v>
      </x:c>
    </x:row>
    <x:row r="80" ht="31.5" customHeight="1">
      <x:c r="A80" s="14" t="str">
        <x:v>SE-FHM-PUBLIC-RECORD-RESPONSE-2026-07-24</x:v>
      </x:c>
      <x:c r="B80" s="14" t="str">
        <x:v>Public Health Agency of Sweden</x:v>
      </x:c>
      <x:c r="C80" s="14" t="str">
        <x:v>official_reference</x:v>
      </x:c>
      <x:c r="D80" s="14" t="str">
        <x:v>https://www.folkhalsomyndigheten.se/regler-och-tillsyn/tobak-och-nikotinprodukter-regler-for-tillverkning-handel-och-hantering/elektroniska-cigaretter-och-pafyllningsbehallare-sa-foljer-du-reglerna/</x:v>
      </x:c>
      <x:c r="E80" s="14" t="str">
        <x:v>2026-07-27</x:v>
      </x:c>
    </x:row>
    <x:row r="81" ht="31.5" customHeight="1">
      <x:c r="A81" s="14" t="str">
        <x:v>US-FTC-E-CIGARETTE-REPORT-2015-2018</x:v>
      </x:c>
      <x:c r="B81" s="14" t="str">
        <x:v>Federal Trade Commission</x:v>
      </x:c>
      <x:c r="C81" s="14" t="str">
        <x:v>official_report</x:v>
      </x:c>
      <x:c r="D81" s="14" t="str">
        <x:v>https://www.ftc.gov/reports/e-cigarette-report-2015-2018</x:v>
      </x:c>
      <x:c r="E81" s="14" t="str">
        <x:v>2026-07-27</x:v>
      </x:c>
    </x:row>
    <x:row r="82" ht="31.5" customHeight="1">
      <x:c r="A82" s="14" t="str">
        <x:v>US-FTC-E-CIGARETTE-REPORT-2021</x:v>
      </x:c>
      <x:c r="B82" s="14" t="str">
        <x:v>Federal Trade Commission</x:v>
      </x:c>
      <x:c r="C82" s="14" t="str">
        <x:v>official_report</x:v>
      </x:c>
      <x:c r="D82" s="14" t="str">
        <x:v>https://www.ftc.gov/reports/e-cigarette-report-2021</x:v>
      </x:c>
      <x:c r="E82" s="14" t="str">
        <x:v>2026-07-27</x:v>
      </x:c>
    </x:row>
    <x:row r="83" ht="31.5" customHeight="1">
      <x:c r="A83" s="14" t="str">
        <x:v>REGISTER-REFERENCE-E034CF64F670</x:v>
      </x:c>
      <x:c r="B83" s="14" t="str">
        <x:v>health.govt.nz</x:v>
      </x:c>
      <x:c r="C83" s="14" t="str">
        <x:v>register_reference</x:v>
      </x:c>
      <x:c r="D83" s="14" t="str">
        <x:v>https://www.health.govt.nz/regulation-legislation/vaping-herbal-smoking-and-smokeless-tobacco/requirements/complete-a-notifiable-product-annual-return</x:v>
      </x:c>
      <x:c r="E83" s="14" t="str">
        <x:v>2026-07-27</x:v>
      </x:c>
    </x:row>
    <x:row r="84" ht="31.5" customHeight="1">
      <x:c r="A84" s="14" t="str">
        <x:v>REGISTER-REFERENCE-B5944DDC2320</x:v>
      </x:c>
      <x:c r="B84" s="14" t="str">
        <x:v>health.govt.nz</x:v>
      </x:c>
      <x:c r="C84" s="14" t="str">
        <x:v>register_reference</x:v>
      </x:c>
      <x:c r="D84" s="14" t="str">
        <x:v>https://www.health.govt.nz/system/files/2024-12/2024-annual-returns-user-guide.pdf</x:v>
      </x:c>
      <x:c r="E84" s="14" t="str">
        <x:v>2026-07-27</x:v>
      </x:c>
    </x:row>
    <x:row r="85" ht="31.5" customHeight="1">
      <x:c r="A85" s="14" t="str">
        <x:v>REGISTER-REFERENCE-7AD3E1157197</x:v>
      </x:c>
      <x:c r="B85" s="14" t="str">
        <x:v>podatki.gov.pl</x:v>
      </x:c>
      <x:c r="C85" s="14" t="str">
        <x:v>register_reference</x:v>
      </x:c>
      <x:c r="D85" s="14" t="str">
        <x:v>https://www.podatki.gov.pl/akcyza/stawki-podatkowe/</x:v>
      </x:c>
      <x:c r="E85" s="14" t="str">
        <x:v>2026-07-27</x:v>
      </x:c>
    </x:row>
    <x:row r="86" ht="31.5" customHeight="1">
      <x:c r="A86" s="14" t="str">
        <x:v>UN-MEMBER-STATES</x:v>
      </x:c>
      <x:c r="B86" s="14" t="str">
        <x:v>United Nations</x:v>
      </x:c>
      <x:c r="C86" s="14" t="str">
        <x:v>official_reference</x:v>
      </x:c>
      <x:c r="D86" s="14" t="str">
        <x:v>https://www.un.org/en/about-us/member-states</x:v>
      </x:c>
      <x:c r="E86" s="14" t="str">
        <x:v>2026-07-27</x:v>
      </x:c>
    </x:row>
    <x:row r="87" ht="31.5" customHeight="1">
      <x:c r="A87" s="14" t="str">
        <x:v>UN-NON-MEMBER-STATES</x:v>
      </x:c>
      <x:c r="B87" s="14" t="str">
        <x:v>United Nations</x:v>
      </x:c>
      <x:c r="C87" s="14" t="str">
        <x:v>official_reference</x:v>
      </x:c>
      <x:c r="D87" s="14" t="str">
        <x:v>https://www.un.org/en/about-us/non-member-states</x:v>
      </x:c>
      <x:c r="E87" s="14" t="str">
        <x:v>2026-07-27</x:v>
      </x:c>
    </x:row>
    <x:row r="88" ht="31.5" customHeight="1">
      <x:c r="A88" s="14" t="str">
        <x:v>REGISTER-REFERENCE-3332B0031C1D</x:v>
      </x:c>
      <x:c r="B88" s="14" t="str">
        <x:v>www150.statcan.gc.ca</x:v>
      </x:c>
      <x:c r="C88" s="14" t="str">
        <x:v>register_reference</x:v>
      </x:c>
      <x:c r="D88" s="14" t="str">
        <x:v>https://www150.statcan.gc.ca/t1/tbl1/en/tv.action?pid=2010007101</x:v>
      </x:c>
      <x:c r="E88" s="14" t="str">
        <x:v>2026-07-27</x:v>
      </x:c>
    </x:row>
    <x:row r="89" ht="31.5" customHeight="1">
      <x:c r="A89" s="15" t="str">
        <x:v>REGISTER-REFERENCE-D61AFC87FA19</x:v>
      </x:c>
      <x:c r="B89" s="15" t="str">
        <x:v>www150.statcan.gc.ca</x:v>
      </x:c>
      <x:c r="C89" s="15" t="str">
        <x:v>register_reference</x:v>
      </x:c>
      <x:c r="D89" s="15" t="str">
        <x:v>https://www150.statcan.gc.ca/t1/tbl1/en/tv.action?pid=2010008001</x:v>
      </x:c>
      <x:c r="E89" s="15" t="str">
        <x:v>2026-07-27</x:v>
      </x:c>
    </x:row>
  </x:sheetData>
  <x:pageMargins left="0.7" right="0.7" top="0.75" bottom="0.75" header="0.3" footer="0.3"/>
  <x:tableParts count="1">
    <x:tablePart xmlns:r="http://schemas.openxmlformats.org/officeDocument/2006/relationships" r:id="R5230952edacc401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6.670000076293945" hidden="0" customWidth="1"/>
    <x:col min="2" max="2" width="36.66999816894531" hidden="0" customWidth="1"/>
    <x:col min="3" max="3" width="28.889999389648438" hidden="0" customWidth="1"/>
    <x:col min="4" max="4" width="23.329999923706055" hidden="0" customWidth="1"/>
    <x:col min="5" max="5" width="10" hidden="0" customWidth="1"/>
    <x:col min="6" max="6" width="16.670000076293945" hidden="0" customWidth="1"/>
    <x:col min="7" max="7" width="21.110000610351562" hidden="0" customWidth="1"/>
    <x:col min="8" max="8" width="11.109999656677246" hidden="0" customWidth="1"/>
    <x:col min="9" max="9" width="23.329999923706055" hidden="0" customWidth="1"/>
    <x:col min="10" max="10" width="24.440000534057617" hidden="0" customWidth="1"/>
    <x:col min="11" max="11" width="32.220001220703125" hidden="0" customWidth="1"/>
    <x:col min="12" max="12" width="68.88999938964844" hidden="0" customWidth="1"/>
    <x:col min="13" max="13" width="16.670000076293945" hidden="0" customWidth="1"/>
    <x:col min="14" max="14" width="36.66999816894531" hidden="0" customWidth="1"/>
  </x:cols>
  <x:sheetData>
    <x:row r="1" ht="37.5" customHeight="1">
      <x:c r="A1" s="5" t="str">
        <x:v>Record type</x:v>
      </x:c>
      <x:c r="B1" s="5" t="str">
        <x:v>Record ID</x:v>
      </x:c>
      <x:c r="C1" s="5" t="str">
        <x:v>Item / component</x:v>
      </x:c>
      <x:c r="D1" s="5" t="str">
        <x:v>Country / geography</x:v>
      </x:c>
      <x:c r="E1" s="5" t="str">
        <x:v>Year</x:v>
      </x:c>
      <x:c r="F1" s="5" t="str">
        <x:v>Period</x:v>
      </x:c>
      <x:c r="G1" s="5" t="str">
        <x:v>Original amount</x:v>
      </x:c>
      <x:c r="H1" s="5" t="str">
        <x:v>Currency</x:v>
      </x:c>
      <x:c r="I1" s="5" t="str">
        <x:v>ECB rate (currency units / EUR)</x:v>
      </x:c>
      <x:c r="J1" s="5" t="str">
        <x:v>EUR equivalent (full precision)</x:v>
      </x:c>
      <x:c r="K1" s="5" t="str">
        <x:v>Rate ID</x:v>
      </x:c>
      <x:c r="L1" s="5" t="str">
        <x:v>ECB source URL</x:v>
      </x:c>
      <x:c r="M1" s="5" t="str">
        <x:v>Status</x:v>
      </x:c>
      <x:c r="N1" s="5" t="str">
        <x:v>Reason / method</x:v>
      </x:c>
    </x:row>
    <x:row r="2" ht="25.5" customHeight="1">
      <x:c r="A2" s="13" t="str">
        <x:v>market_observation</x:v>
      </x:c>
      <x:c r="B2" s="13" t="str">
        <x:v>CA-2024-MANUFACTURER-IMPORTER-SHIPMENTS-VALUE</x:v>
      </x:c>
      <x:c r="C2" s="13" t="str">
        <x:v>manufacturer_importer_shipments_value</x:v>
      </x:c>
      <x:c r="D2" s="13" t="str">
        <x:v>Canada</x:v>
      </x:c>
      <x:c r="E2" s="13" t="n">
        <x:v>2024</x:v>
      </x:c>
      <x:c r="F2" s="13" t="str">
        <x:v>calendar_year</x:v>
      </x:c>
      <x:c r="G2" s="44" t="n">
        <x:v>1160753796.78</x:v>
      </x:c>
      <x:c r="H2" s="44" t="str">
        <x:v>CAD</x:v>
      </x:c>
      <x:c r="I2" s="44" t="n">
        <x:v>1.482110546875</x:v>
      </x:c>
      <x:c r="J2" s="44" t="n">
        <x:f>G2/I2</x:f>
        <x:v>783176261.1955132</x:v>
      </x:c>
      <x:c r="K2" s="13" t="str">
        <x:v>ECB-EXR-A-CAD-EUR-SP00-A-2024</x:v>
      </x:c>
      <x:c r="L2" s="13" t="str">
        <x:v>https://data-api.ecb.europa.eu/service/data/EXR/A.CAD.EUR.SP00.A?startPeriod=2024&amp;endPeriod=2024&amp;format=csvdata</x:v>
      </x:c>
      <x:c r="M2" s="13" t="str">
        <x:v>computed</x:v>
      </x:c>
      <x:c r="N2" s="13" t="str">
        <x:v>original_amount_divided_by_ecb_annual_average</x:v>
      </x:c>
    </x:row>
    <x:row r="3" ht="25.5" customHeight="1">
      <x:c r="A3" s="14" t="str">
        <x:v>market_observation</x:v>
      </x:c>
      <x:c r="B3" s="14" t="str">
        <x:v>CA-2019-STATCAN-RCS-VAPING-RETAIL-SALES</x:v>
      </x:c>
      <x:c r="C3" s="14" t="str">
        <x:v>statcan_rcs_vaping_retail_sales</x:v>
      </x:c>
      <x:c r="D3" s="14" t="str">
        <x:v>Canada</x:v>
      </x:c>
      <x:c r="E3" s="14" t="n">
        <x:v>2019</x:v>
      </x:c>
      <x:c r="F3" s="14" t="str">
        <x:v>calendar_year</x:v>
      </x:c>
      <x:c r="G3" s="45" t="n">
        <x:v>477077000</x:v>
      </x:c>
      <x:c r="H3" s="45" t="str">
        <x:v>CAD</x:v>
      </x:c>
      <x:c r="I3" s="45" t="n">
        <x:v>1.485477254902</x:v>
      </x:c>
      <x:c r="J3" s="45" t="n">
        <x:f>G3/I3</x:f>
        <x:v>321160757.20827764</x:v>
      </x:c>
      <x:c r="K3" s="14" t="str">
        <x:v>ECB-EXR-A-CAD-EUR-SP00-A-2019</x:v>
      </x:c>
      <x:c r="L3" s="14" t="str">
        <x:v>https://data-api.ecb.europa.eu/service/data/EXR/A.CAD.EUR.SP00.A?startPeriod=2019&amp;endPeriod=2019&amp;format=csvdata</x:v>
      </x:c>
      <x:c r="M3" s="14" t="str">
        <x:v>computed</x:v>
      </x:c>
      <x:c r="N3" s="14" t="str">
        <x:v>original_amount_divided_by_ecb_annual_average</x:v>
      </x:c>
    </x:row>
    <x:row r="4" ht="25.5" customHeight="1">
      <x:c r="A4" s="14" t="str">
        <x:v>market_observation</x:v>
      </x:c>
      <x:c r="B4" s="14" t="str">
        <x:v>CA-2020-STATCAN-RCS-VAPING-RETAIL-SALES</x:v>
      </x:c>
      <x:c r="C4" s="14" t="str">
        <x:v>statcan_rcs_vaping_retail_sales</x:v>
      </x:c>
      <x:c r="D4" s="14" t="str">
        <x:v>Canada</x:v>
      </x:c>
      <x:c r="E4" s="14" t="n">
        <x:v>2020</x:v>
      </x:c>
      <x:c r="F4" s="14" t="str">
        <x:v>calendar_year</x:v>
      </x:c>
      <x:c r="G4" s="45" t="n">
        <x:v>520647000</x:v>
      </x:c>
      <x:c r="H4" s="45" t="str">
        <x:v>CAD</x:v>
      </x:c>
      <x:c r="I4" s="45" t="n">
        <x:v>1.5299926070039</x:v>
      </x:c>
      <x:c r="J4" s="45" t="n">
        <x:f>G4/I4</x:f>
        <x:v>340293801.1704215</x:v>
      </x:c>
      <x:c r="K4" s="14" t="str">
        <x:v>ECB-EXR-A-CAD-EUR-SP00-A-2020</x:v>
      </x:c>
      <x:c r="L4" s="14" t="str">
        <x:v>https://data-api.ecb.europa.eu/service/data/EXR/A.CAD.EUR.SP00.A?startPeriod=2020&amp;endPeriod=2020&amp;format=csvdata</x:v>
      </x:c>
      <x:c r="M4" s="14" t="str">
        <x:v>computed</x:v>
      </x:c>
      <x:c r="N4" s="14" t="str">
        <x:v>original_amount_divided_by_ecb_annual_average</x:v>
      </x:c>
    </x:row>
    <x:row r="5" ht="25.5" customHeight="1">
      <x:c r="A5" s="14" t="str">
        <x:v>market_observation</x:v>
      </x:c>
      <x:c r="B5" s="14" t="str">
        <x:v>CA-2021-STATCAN-RCS-VAPING-RETAIL-SALES</x:v>
      </x:c>
      <x:c r="C5" s="14" t="str">
        <x:v>statcan_rcs_vaping_retail_sales</x:v>
      </x:c>
      <x:c r="D5" s="14" t="str">
        <x:v>Canada</x:v>
      </x:c>
      <x:c r="E5" s="14" t="n">
        <x:v>2021</x:v>
      </x:c>
      <x:c r="F5" s="14" t="str">
        <x:v>calendar_year</x:v>
      </x:c>
      <x:c r="G5" s="45" t="n">
        <x:v>992732000</x:v>
      </x:c>
      <x:c r="H5" s="45" t="str">
        <x:v>CAD</x:v>
      </x:c>
      <x:c r="I5" s="45" t="n">
        <x:v>1.4825689922481</x:v>
      </x:c>
      <x:c r="J5" s="45" t="n">
        <x:f>G5/I5</x:f>
        <x:v>669602565.0008142</x:v>
      </x:c>
      <x:c r="K5" s="14" t="str">
        <x:v>ECB-EXR-A-CAD-EUR-SP00-A-2021</x:v>
      </x:c>
      <x:c r="L5" s="14" t="str">
        <x:v>https://data-api.ecb.europa.eu/service/data/EXR/A.CAD.EUR.SP00.A?startPeriod=2021&amp;endPeriod=2021&amp;format=csvdata</x:v>
      </x:c>
      <x:c r="M5" s="14" t="str">
        <x:v>computed</x:v>
      </x:c>
      <x:c r="N5" s="14" t="str">
        <x:v>original_amount_divided_by_ecb_annual_average</x:v>
      </x:c>
    </x:row>
    <x:row r="6" ht="25.5" customHeight="1">
      <x:c r="A6" s="14" t="str">
        <x:v>market_observation</x:v>
      </x:c>
      <x:c r="B6" s="14" t="str">
        <x:v>CA-2022-STATCAN-RCS-VAPING-RETAIL-SALES</x:v>
      </x:c>
      <x:c r="C6" s="14" t="str">
        <x:v>statcan_rcs_vaping_retail_sales</x:v>
      </x:c>
      <x:c r="D6" s="14" t="str">
        <x:v>Canada</x:v>
      </x:c>
      <x:c r="E6" s="14" t="n">
        <x:v>2022</x:v>
      </x:c>
      <x:c r="F6" s="14" t="str">
        <x:v>calendar_year</x:v>
      </x:c>
      <x:c r="G6" s="45" t="n">
        <x:v>1277158000</x:v>
      </x:c>
      <x:c r="H6" s="45" t="str">
        <x:v>CAD</x:v>
      </x:c>
      <x:c r="I6" s="45" t="n">
        <x:v>1.3694910505837</x:v>
      </x:c>
      <x:c r="J6" s="45" t="n">
        <x:f>G6/I6</x:f>
        <x:v>932578565.924658</x:v>
      </x:c>
      <x:c r="K6" s="14" t="str">
        <x:v>ECB-EXR-A-CAD-EUR-SP00-A-2022</x:v>
      </x:c>
      <x:c r="L6" s="14" t="str">
        <x:v>https://data-api.ecb.europa.eu/service/data/EXR/A.CAD.EUR.SP00.A?startPeriod=2022&amp;endPeriod=2022&amp;format=csvdata</x:v>
      </x:c>
      <x:c r="M6" s="14" t="str">
        <x:v>computed</x:v>
      </x:c>
      <x:c r="N6" s="14" t="str">
        <x:v>original_amount_divided_by_ecb_annual_average</x:v>
      </x:c>
    </x:row>
    <x:row r="7" ht="25.5" customHeight="1">
      <x:c r="A7" s="14" t="str">
        <x:v>market_observation</x:v>
      </x:c>
      <x:c r="B7" s="14" t="str">
        <x:v>CA-2023-STATCAN-RCS-VAPING-RETAIL-SALES</x:v>
      </x:c>
      <x:c r="C7" s="14" t="str">
        <x:v>statcan_rcs_vaping_retail_sales</x:v>
      </x:c>
      <x:c r="D7" s="14" t="str">
        <x:v>Canada</x:v>
      </x:c>
      <x:c r="E7" s="14" t="n">
        <x:v>2023</x:v>
      </x:c>
      <x:c r="F7" s="14" t="str">
        <x:v>calendar_year</x:v>
      </x:c>
      <x:c r="G7" s="45" t="n">
        <x:v>1530758000</x:v>
      </x:c>
      <x:c r="H7" s="45" t="str">
        <x:v>CAD</x:v>
      </x:c>
      <x:c r="I7" s="45" t="n">
        <x:v>1.459468627451</x:v>
      </x:c>
      <x:c r="J7" s="45" t="n">
        <x:f>G7/I7</x:f>
        <x:v>1048846115.091565</x:v>
      </x:c>
      <x:c r="K7" s="14" t="str">
        <x:v>ECB-EXR-A-CAD-EUR-SP00-A-2023</x:v>
      </x:c>
      <x:c r="L7" s="14" t="str">
        <x:v>https://data-api.ecb.europa.eu/service/data/EXR/A.CAD.EUR.SP00.A?startPeriod=2023&amp;endPeriod=2023&amp;format=csvdata</x:v>
      </x:c>
      <x:c r="M7" s="14" t="str">
        <x:v>computed</x:v>
      </x:c>
      <x:c r="N7" s="14" t="str">
        <x:v>original_amount_divided_by_ecb_annual_average</x:v>
      </x:c>
    </x:row>
    <x:row r="8" ht="25.5" customHeight="1">
      <x:c r="A8" s="14" t="str">
        <x:v>market_observation</x:v>
      </x:c>
      <x:c r="B8" s="14" t="str">
        <x:v>CA-2024-STATCAN-RCS-VAPING-RETAIL-SALES</x:v>
      </x:c>
      <x:c r="C8" s="14" t="str">
        <x:v>statcan_rcs_vaping_retail_sales</x:v>
      </x:c>
      <x:c r="D8" s="14" t="str">
        <x:v>Canada</x:v>
      </x:c>
      <x:c r="E8" s="14" t="n">
        <x:v>2024</x:v>
      </x:c>
      <x:c r="F8" s="14" t="str">
        <x:v>calendar_year</x:v>
      </x:c>
      <x:c r="G8" s="45" t="n">
        <x:v>1219160000</x:v>
      </x:c>
      <x:c r="H8" s="45" t="str">
        <x:v>CAD</x:v>
      </x:c>
      <x:c r="I8" s="45" t="n">
        <x:v>1.482110546875</x:v>
      </x:c>
      <x:c r="J8" s="45" t="n">
        <x:f>G8/I8</x:f>
        <x:v>822583715.2097555</x:v>
      </x:c>
      <x:c r="K8" s="14" t="str">
        <x:v>ECB-EXR-A-CAD-EUR-SP00-A-2024</x:v>
      </x:c>
      <x:c r="L8" s="14" t="str">
        <x:v>https://data-api.ecb.europa.eu/service/data/EXR/A.CAD.EUR.SP00.A?startPeriod=2024&amp;endPeriod=2024&amp;format=csvdata</x:v>
      </x:c>
      <x:c r="M8" s="14" t="str">
        <x:v>computed</x:v>
      </x:c>
      <x:c r="N8" s="14" t="str">
        <x:v>original_amount_divided_by_ecb_annual_average</x:v>
      </x:c>
    </x:row>
    <x:row r="9" ht="25.5" customHeight="1">
      <x:c r="A9" s="14" t="str">
        <x:v>market_observation</x:v>
      </x:c>
      <x:c r="B9" s="14" t="str">
        <x:v>CA-2025-STATCAN-RCS-VAPING-RETAIL-SALES</x:v>
      </x:c>
      <x:c r="C9" s="14" t="str">
        <x:v>statcan_rcs_vaping_retail_sales</x:v>
      </x:c>
      <x:c r="D9" s="14" t="str">
        <x:v>Canada</x:v>
      </x:c>
      <x:c r="E9" s="14" t="n">
        <x:v>2025</x:v>
      </x:c>
      <x:c r="F9" s="14" t="str">
        <x:v>calendar_year</x:v>
      </x:c>
      <x:c r="G9" s="45" t="n">
        <x:v>1266567000</x:v>
      </x:c>
      <x:c r="H9" s="45" t="str">
        <x:v>CAD</x:v>
      </x:c>
      <x:c r="I9" s="45" t="n">
        <x:v>1.5787262745098</x:v>
      </x:c>
      <x:c r="J9" s="45" t="n">
        <x:f>G9/I9</x:f>
        <x:v>802271438.9758753</x:v>
      </x:c>
      <x:c r="K9" s="14" t="str">
        <x:v>ECB-EXR-A-CAD-EUR-SP00-A-2025</x:v>
      </x:c>
      <x:c r="L9" s="14" t="str">
        <x:v>https://data-api.ecb.europa.eu/service/data/EXR/A.CAD.EUR.SP00.A?startPeriod=2025&amp;endPeriod=2025&amp;format=csvdata</x:v>
      </x:c>
      <x:c r="M9" s="14" t="str">
        <x:v>computed</x:v>
      </x:c>
      <x:c r="N9" s="14" t="str">
        <x:v>original_amount_divided_by_ecb_annual_average</x:v>
      </x:c>
    </x:row>
    <x:row r="10" ht="25.5" customHeight="1">
      <x:c r="A10" s="14" t="str">
        <x:v>market_observation</x:v>
      </x:c>
      <x:c r="B10" s="14" t="str">
        <x:v>NZ-2022-NOTIFIABLE-PRODUCT-REPORTED-REVENUE</x:v>
      </x:c>
      <x:c r="C10" s="14" t="str">
        <x:v>official_reported_revenue_mixed_supply_stages</x:v>
      </x:c>
      <x:c r="D10" s="14" t="str">
        <x:v>New Zealand</x:v>
      </x:c>
      <x:c r="E10" s="14" t="n">
        <x:v>2022</x:v>
      </x:c>
      <x:c r="F10" s="14" t="str">
        <x:v>calendar_year</x:v>
      </x:c>
      <x:c r="G10" s="45" t="n">
        <x:v>404000000</x:v>
      </x:c>
      <x:c r="H10" s="45" t="str">
        <x:v>NZD</x:v>
      </x:c>
      <x:c r="I10" s="45" t="n">
        <x:v>1.6582474708171</x:v>
      </x:c>
      <x:c r="J10" s="45" t="n">
        <x:f>G10/I10</x:f>
        <x:v>243630704.7710613</x:v>
      </x:c>
      <x:c r="K10" s="14" t="str">
        <x:v>ECB-EXR-A-NZD-EUR-SP00-A-2022</x:v>
      </x:c>
      <x:c r="L10" s="14" t="str">
        <x:v>https://data-api.ecb.europa.eu/service/data/EXR/A.NZD.EUR.SP00.A?startPeriod=2022&amp;endPeriod=2022&amp;format=csvdata</x:v>
      </x:c>
      <x:c r="M10" s="14" t="str">
        <x:v>computed</x:v>
      </x:c>
      <x:c r="N10" s="14" t="str">
        <x:v>original_amount_divided_by_ecb_annual_average</x:v>
      </x:c>
    </x:row>
    <x:row r="11" ht="25.5" customHeight="1">
      <x:c r="A11" s="14" t="str">
        <x:v>market_observation</x:v>
      </x:c>
      <x:c r="B11" s="14" t="str">
        <x:v>NZ-2023-NOTIFIABLE-PRODUCT-REPORTED-REVENUE-LOWER-BOUND</x:v>
      </x:c>
      <x:c r="C11" s="14" t="str">
        <x:v>official_reported_revenue_mixed_supply_stages</x:v>
      </x:c>
      <x:c r="D11" s="14" t="str">
        <x:v>New Zealand</x:v>
      </x:c>
      <x:c r="E11" s="14" t="n">
        <x:v>2023</x:v>
      </x:c>
      <x:c r="F11" s="14" t="str">
        <x:v>calendar_year</x:v>
      </x:c>
      <x:c r="G11" s="45" t="n">
        <x:v>374000000</x:v>
      </x:c>
      <x:c r="H11" s="45" t="str">
        <x:v>NZD</x:v>
      </x:c>
      <x:c r="I11" s="45" t="n">
        <x:v>1.762151372549</x:v>
      </x:c>
      <x:c r="J11" s="45" t="n">
        <x:f>G11/I11</x:f>
        <x:v>212240563.33991262</x:v>
      </x:c>
      <x:c r="K11" s="14" t="str">
        <x:v>ECB-EXR-A-NZD-EUR-SP00-A-2023</x:v>
      </x:c>
      <x:c r="L11" s="14" t="str">
        <x:v>https://data-api.ecb.europa.eu/service/data/EXR/A.NZD.EUR.SP00.A?startPeriod=2023&amp;endPeriod=2023&amp;format=csvdata</x:v>
      </x:c>
      <x:c r="M11" s="14" t="str">
        <x:v>computed</x:v>
      </x:c>
      <x:c r="N11" s="14" t="str">
        <x:v>original_amount_divided_by_ecb_annual_average</x:v>
      </x:c>
    </x:row>
    <x:row r="12" ht="25.5" customHeight="1">
      <x:c r="A12" s="14" t="str">
        <x:v>market_observation</x:v>
      </x:c>
      <x:c r="B12" s="14" t="str">
        <x:v>NZ-2024-SPECIALIST-RETAIL-SALES-LOWER-BOUND</x:v>
      </x:c>
      <x:c r="C12" s="14" t="str">
        <x:v>official_specialist_retail_sales_lower_bound</x:v>
      </x:c>
      <x:c r="D12" s="14" t="str">
        <x:v>New Zealand</x:v>
      </x:c>
      <x:c r="E12" s="14" t="n">
        <x:v>2024</x:v>
      </x:c>
      <x:c r="F12" s="14" t="str">
        <x:v>calendar_year</x:v>
      </x:c>
      <x:c r="G12" s="45" t="n">
        <x:v>280000000</x:v>
      </x:c>
      <x:c r="H12" s="45" t="str">
        <x:v>NZD</x:v>
      </x:c>
      <x:c r="I12" s="45" t="n">
        <x:v>1.788048828125</x:v>
      </x:c>
      <x:c r="J12" s="45" t="n">
        <x:f>G12/I12</x:f>
        <x:v>156595276.14445302</x:v>
      </x:c>
      <x:c r="K12" s="14" t="str">
        <x:v>ECB-EXR-A-NZD-EUR-SP00-A-2024</x:v>
      </x:c>
      <x:c r="L12" s="14" t="str">
        <x:v>https://data-api.ecb.europa.eu/service/data/EXR/A.NZD.EUR.SP00.A?startPeriod=2024&amp;endPeriod=2024&amp;format=csvdata</x:v>
      </x:c>
      <x:c r="M12" s="14" t="str">
        <x:v>computed</x:v>
      </x:c>
      <x:c r="N12" s="14" t="str">
        <x:v>original_amount_divided_by_ecb_annual_average</x:v>
      </x:c>
    </x:row>
    <x:row r="13" ht="25.5" customHeight="1">
      <x:c r="A13" s="14" t="str">
        <x:v>market_observation</x:v>
      </x:c>
      <x:c r="B13" s="14" t="str">
        <x:v>NZ-2024-SPECIALIST-RETAIL-PRODUCT-SALES-RAW-FILE-SUM</x:v>
      </x:c>
      <x:c r="C13" s="14" t="str">
        <x:v>derived_official_workbook_sales_raw_sum</x:v>
      </x:c>
      <x:c r="D13" s="14" t="str">
        <x:v>New Zealand</x:v>
      </x:c>
      <x:c r="E13" s="14" t="n">
        <x:v>2024</x:v>
      </x:c>
      <x:c r="F13" s="14" t="str">
        <x:v>calendar_year</x:v>
      </x:c>
      <x:c r="G13" s="45" t="n">
        <x:v>280684512.81</x:v>
      </x:c>
      <x:c r="H13" s="45" t="str">
        <x:v>NZD</x:v>
      </x:c>
      <x:c r="I13" s="45" t="n">
        <x:v>1.788048828125</x:v>
      </x:c>
      <x:c r="J13" s="45" t="n">
        <x:f>G13/I13</x:f>
        <x:v>156978102.83197576</x:v>
      </x:c>
      <x:c r="K13" s="14" t="str">
        <x:v>ECB-EXR-A-NZD-EUR-SP00-A-2024</x:v>
      </x:c>
      <x:c r="L13" s="14" t="str">
        <x:v>https://data-api.ecb.europa.eu/service/data/EXR/A.NZD.EUR.SP00.A?startPeriod=2024&amp;endPeriod=2024&amp;format=csvdata</x:v>
      </x:c>
      <x:c r="M13" s="14" t="str">
        <x:v>computed</x:v>
      </x:c>
      <x:c r="N13" s="14" t="str">
        <x:v>original_amount_divided_by_ecb_annual_average</x:v>
      </x:c>
    </x:row>
    <x:row r="14" ht="25.5" customHeight="1">
      <x:c r="A14" s="14" t="str">
        <x:v>market_observation</x:v>
      </x:c>
      <x:c r="B14" s="14" t="str">
        <x:v>NZ-2024-IDENTIFIED-VAPING-PRODUCT-SALES-RAW-SUM</x:v>
      </x:c>
      <x:c r="C14" s="14" t="str">
        <x:v>derived_identified_vaping_product_sales_raw_sum</x:v>
      </x:c>
      <x:c r="D14" s="14" t="str">
        <x:v>New Zealand</x:v>
      </x:c>
      <x:c r="E14" s="14" t="n">
        <x:v>2024</x:v>
      </x:c>
      <x:c r="F14" s="14" t="str">
        <x:v>calendar_year</x:v>
      </x:c>
      <x:c r="G14" s="45" t="n">
        <x:v>274180410.21</x:v>
      </x:c>
      <x:c r="H14" s="45" t="str">
        <x:v>NZD</x:v>
      </x:c>
      <x:c r="I14" s="45" t="n">
        <x:v>1.788048828125</x:v>
      </x:c>
      <x:c r="J14" s="45" t="n">
        <x:f>G14/I14</x:f>
        <x:v>153340560.89369413</x:v>
      </x:c>
      <x:c r="K14" s="14" t="str">
        <x:v>ECB-EXR-A-NZD-EUR-SP00-A-2024</x:v>
      </x:c>
      <x:c r="L14" s="14" t="str">
        <x:v>https://data-api.ecb.europa.eu/service/data/EXR/A.NZD.EUR.SP00.A?startPeriod=2024&amp;endPeriod=2024&amp;format=csvdata</x:v>
      </x:c>
      <x:c r="M14" s="14" t="str">
        <x:v>computed</x:v>
      </x:c>
      <x:c r="N14" s="14" t="str">
        <x:v>original_amount_divided_by_ecb_annual_average</x:v>
      </x:c>
    </x:row>
    <x:row r="15" ht="25.5" customHeight="1">
      <x:c r="A15" s="14" t="str">
        <x:v>market_observation</x:v>
      </x:c>
      <x:c r="B15" s="14" t="str">
        <x:v>EU-2023-EC-E-CIGARETTE-MARKET-BENCHMARK</x:v>
      </x:c>
      <x:c r="C15" s="14" t="str">
        <x:v>institutional_market_value_benchmark</x:v>
      </x:c>
      <x:c r="D15" s="14" t="str">
        <x:v>European Union</x:v>
      </x:c>
      <x:c r="E15" s="14" t="n">
        <x:v>2023</x:v>
      </x:c>
      <x:c r="F15" s="14" t="str">
        <x:v>calendar_year</x:v>
      </x:c>
      <x:c r="G15" s="45" t="n">
        <x:v>4990000000</x:v>
      </x:c>
      <x:c r="H15" s="45" t="str">
        <x:v>EUR</x:v>
      </x:c>
      <x:c r="I15" s="45" t="n">
        <x:v>1</x:v>
      </x:c>
      <x:c r="J15" s="45" t="n">
        <x:f>G15</x:f>
        <x:v>4990000000</x:v>
      </x:c>
      <x:c r="K15" s="14" t="str">
        <x:v>EUR-IDENTITY</x:v>
      </x:c>
      <x:c r="L15" s="14" t="str">
        <x:v>https://www.ecb.europa.eu/stats/policy_and_exchange_rates/euro_reference_exchange_rates/html/index.en.html</x:v>
      </x:c>
      <x:c r="M15" s="14" t="str">
        <x:v>already_eur</x:v>
      </x:c>
      <x:c r="N15" s="14" t="str">
        <x:v>original_currency_already_eur</x:v>
      </x:c>
    </x:row>
    <x:row r="16" ht="25.5" customHeight="1">
      <x:c r="A16" s="14" t="str">
        <x:v>market_observation</x:v>
      </x:c>
      <x:c r="B16" s="14" t="str">
        <x:v>DE-2023-SUBSTITUTES-EXCISE-RECEIPTS</x:v>
      </x:c>
      <x:c r="C16" s="14" t="str">
        <x:v>substitutes_excise_receipts</x:v>
      </x:c>
      <x:c r="D16" s="14" t="str">
        <x:v>Germany</x:v>
      </x:c>
      <x:c r="E16" s="14" t="n">
        <x:v>2023</x:v>
      </x:c>
      <x:c r="F16" s="14" t="str">
        <x:v>calendar_year</x:v>
      </x:c>
      <x:c r="G16" s="45" t="n">
        <x:v>201000000</x:v>
      </x:c>
      <x:c r="H16" s="45" t="str">
        <x:v>EUR</x:v>
      </x:c>
      <x:c r="I16" s="45" t="n">
        <x:v>1</x:v>
      </x:c>
      <x:c r="J16" s="45" t="n">
        <x:f>G16</x:f>
        <x:v>201000000</x:v>
      </x:c>
      <x:c r="K16" s="14" t="str">
        <x:v>EUR-IDENTITY</x:v>
      </x:c>
      <x:c r="L16" s="14" t="str">
        <x:v>https://www.ecb.europa.eu/stats/policy_and_exchange_rates/euro_reference_exchange_rates/html/index.en.html</x:v>
      </x:c>
      <x:c r="M16" s="14" t="str">
        <x:v>already_eur</x:v>
      </x:c>
      <x:c r="N16" s="14" t="str">
        <x:v>original_currency_already_eur</x:v>
      </x:c>
    </x:row>
    <x:row r="17" ht="25.5" customHeight="1">
      <x:c r="A17" s="14" t="str">
        <x:v>market_observation</x:v>
      </x:c>
      <x:c r="B17" s="14" t="str">
        <x:v>DE-2024-SUBSTITUTES-EXCISE-RECEIPTS</x:v>
      </x:c>
      <x:c r="C17" s="14" t="str">
        <x:v>substitutes_excise_receipts</x:v>
      </x:c>
      <x:c r="D17" s="14" t="str">
        <x:v>Germany</x:v>
      </x:c>
      <x:c r="E17" s="14" t="n">
        <x:v>2024</x:v>
      </x:c>
      <x:c r="F17" s="14" t="str">
        <x:v>calendar_year</x:v>
      </x:c>
      <x:c r="G17" s="45" t="n">
        <x:v>266000000</x:v>
      </x:c>
      <x:c r="H17" s="45" t="str">
        <x:v>EUR</x:v>
      </x:c>
      <x:c r="I17" s="45" t="n">
        <x:v>1</x:v>
      </x:c>
      <x:c r="J17" s="45" t="n">
        <x:f>G17</x:f>
        <x:v>266000000</x:v>
      </x:c>
      <x:c r="K17" s="14" t="str">
        <x:v>EUR-IDENTITY</x:v>
      </x:c>
      <x:c r="L17" s="14" t="str">
        <x:v>https://www.ecb.europa.eu/stats/policy_and_exchange_rates/euro_reference_exchange_rates/html/index.en.html</x:v>
      </x:c>
      <x:c r="M17" s="14" t="str">
        <x:v>already_eur</x:v>
      </x:c>
      <x:c r="N17" s="14" t="str">
        <x:v>original_currency_already_eur</x:v>
      </x:c>
    </x:row>
    <x:row r="18" ht="25.5" customHeight="1">
      <x:c r="A18" s="14" t="str">
        <x:v>market_observation</x:v>
      </x:c>
      <x:c r="B18" s="14" t="str">
        <x:v>DE-2025-SUBSTITUTES-EXCISE-RECEIPTS</x:v>
      </x:c>
      <x:c r="C18" s="14" t="str">
        <x:v>substitutes_excise_receipts</x:v>
      </x:c>
      <x:c r="D18" s="14" t="str">
        <x:v>Germany</x:v>
      </x:c>
      <x:c r="E18" s="14" t="n">
        <x:v>2025</x:v>
      </x:c>
      <x:c r="F18" s="14" t="str">
        <x:v>calendar_year</x:v>
      </x:c>
      <x:c r="G18" s="45" t="n">
        <x:v>404000000</x:v>
      </x:c>
      <x:c r="H18" s="45" t="str">
        <x:v>EUR</x:v>
      </x:c>
      <x:c r="I18" s="45" t="n">
        <x:v>1</x:v>
      </x:c>
      <x:c r="J18" s="45" t="n">
        <x:f>G18</x:f>
        <x:v>404000000</x:v>
      </x:c>
      <x:c r="K18" s="14" t="str">
        <x:v>EUR-IDENTITY</x:v>
      </x:c>
      <x:c r="L18" s="14" t="str">
        <x:v>https://www.ecb.europa.eu/stats/policy_and_exchange_rates/euro_reference_exchange_rates/html/index.en.html</x:v>
      </x:c>
      <x:c r="M18" s="14" t="str">
        <x:v>already_eur</x:v>
      </x:c>
      <x:c r="N18" s="14" t="str">
        <x:v>original_currency_already_eur</x:v>
      </x:c>
    </x:row>
    <x:row r="19" ht="25.5" customHeight="1">
      <x:c r="A19" s="14" t="str">
        <x:v>market_observation</x:v>
      </x:c>
      <x:c r="B19" s="14" t="str">
        <x:v>FI-2025-NICOTINE-E-LIQUID-EXCISE-RECEIPTS</x:v>
      </x:c>
      <x:c r="C19" s="14" t="str">
        <x:v>nicotine_e_liquid_excise_receipts</x:v>
      </x:c>
      <x:c r="D19" s="14" t="str">
        <x:v>Finland</x:v>
      </x:c>
      <x:c r="E19" s="14" t="n">
        <x:v>2025</x:v>
      </x:c>
      <x:c r="F19" s="14" t="str">
        <x:v>calendar_year</x:v>
      </x:c>
      <x:c r="G19" s="45" t="n">
        <x:v>3540319</x:v>
      </x:c>
      <x:c r="H19" s="45" t="str">
        <x:v>EUR</x:v>
      </x:c>
      <x:c r="I19" s="45" t="n">
        <x:v>1</x:v>
      </x:c>
      <x:c r="J19" s="45" t="n">
        <x:f>G19</x:f>
        <x:v>3540319</x:v>
      </x:c>
      <x:c r="K19" s="14" t="str">
        <x:v>EUR-IDENTITY</x:v>
      </x:c>
      <x:c r="L19" s="14" t="str">
        <x:v>https://www.ecb.europa.eu/stats/policy_and_exchange_rates/euro_reference_exchange_rates/html/index.en.html</x:v>
      </x:c>
      <x:c r="M19" s="14" t="str">
        <x:v>already_eur</x:v>
      </x:c>
      <x:c r="N19" s="14" t="str">
        <x:v>original_currency_already_eur</x:v>
      </x:c>
    </x:row>
    <x:row r="20" ht="25.5" customHeight="1">
      <x:c r="A20" s="14" t="str">
        <x:v>market_observation</x:v>
      </x:c>
      <x:c r="B20" s="14" t="str">
        <x:v>PL-2025-E-LIQUID-EXCISE-AMOUNT</x:v>
      </x:c>
      <x:c r="C20" s="14" t="str">
        <x:v>e_liquid_excise_amount</x:v>
      </x:c>
      <x:c r="D20" s="14" t="str">
        <x:v>Poland</x:v>
      </x:c>
      <x:c r="E20" s="14" t="n">
        <x:v>2025</x:v>
      </x:c>
      <x:c r="F20" s="14" t="str">
        <x:v>calendar_year</x:v>
      </x:c>
      <x:c r="G20" s="45" t="n">
        <x:v>993100000</x:v>
      </x:c>
      <x:c r="H20" s="45" t="str">
        <x:v>PLN</x:v>
      </x:c>
      <x:c r="I20" s="45" t="n">
        <x:v>4.2396576470588</x:v>
      </x:c>
      <x:c r="J20" s="45" t="n">
        <x:f>G20/I20</x:f>
        <x:v>234240611.54771507</x:v>
      </x:c>
      <x:c r="K20" s="14" t="str">
        <x:v>ECB-EXR-A-PLN-EUR-SP00-A-2025</x:v>
      </x:c>
      <x:c r="L20" s="14" t="str">
        <x:v>https://data-api.ecb.europa.eu/service/data/EXR/A.PLN.EUR.SP00.A?startPeriod=2025&amp;endPeriod=2025&amp;format=csvdata</x:v>
      </x:c>
      <x:c r="M20" s="14" t="str">
        <x:v>computed</x:v>
      </x:c>
      <x:c r="N20" s="14" t="str">
        <x:v>original_amount_divided_by_ecb_annual_average</x:v>
      </x:c>
    </x:row>
    <x:row r="21" ht="25.5" customHeight="1">
      <x:c r="A21" s="14" t="str">
        <x:v>market_observation</x:v>
      </x:c>
      <x:c r="B21" s="14" t="str">
        <x:v>PL-2025-VAPING-DEVICE-EXCISE-AMOUNT</x:v>
      </x:c>
      <x:c r="C21" s="14" t="str">
        <x:v>vaping_device_excise_amount</x:v>
      </x:c>
      <x:c r="D21" s="14" t="str">
        <x:v>Poland</x:v>
      </x:c>
      <x:c r="E21" s="14" t="n">
        <x:v>2025</x:v>
      </x:c>
      <x:c r="F21" s="14" t="str">
        <x:v>calendar_year</x:v>
      </x:c>
      <x:c r="G21" s="45" t="n">
        <x:v>175300000</x:v>
      </x:c>
      <x:c r="H21" s="45" t="str">
        <x:v>PLN</x:v>
      </x:c>
      <x:c r="I21" s="45" t="n">
        <x:v>4.2396576470588</x:v>
      </x:c>
      <x:c r="J21" s="45" t="n">
        <x:f>G21/I21</x:f>
        <x:v>41347678.183782555</x:v>
      </x:c>
      <x:c r="K21" s="14" t="str">
        <x:v>ECB-EXR-A-PLN-EUR-SP00-A-2025</x:v>
      </x:c>
      <x:c r="L21" s="14" t="str">
        <x:v>https://data-api.ecb.europa.eu/service/data/EXR/A.PLN.EUR.SP00.A?startPeriod=2025&amp;endPeriod=2025&amp;format=csvdata</x:v>
      </x:c>
      <x:c r="M21" s="14" t="str">
        <x:v>computed</x:v>
      </x:c>
      <x:c r="N21" s="14" t="str">
        <x:v>original_amount_divided_by_ecb_annual_average</x:v>
      </x:c>
    </x:row>
    <x:row r="22" ht="25.5" customHeight="1">
      <x:c r="A22" s="14" t="str">
        <x:v>market_observation</x:v>
      </x:c>
      <x:c r="B22" s="14" t="str">
        <x:v>PL-2025-VAPING-COMPONENT-SETS-EXCISE-AMOUNT</x:v>
      </x:c>
      <x:c r="C22" s="14" t="str">
        <x:v>vaping_component_sets_excise_amount</x:v>
      </x:c>
      <x:c r="D22" s="14" t="str">
        <x:v>Poland</x:v>
      </x:c>
      <x:c r="E22" s="14" t="n">
        <x:v>2025</x:v>
      </x:c>
      <x:c r="F22" s="14" t="str">
        <x:v>calendar_year</x:v>
      </x:c>
      <x:c r="G22" s="45" t="n">
        <x:v>2500000</x:v>
      </x:c>
      <x:c r="H22" s="45" t="str">
        <x:v>PLN</x:v>
      </x:c>
      <x:c r="I22" s="45" t="n">
        <x:v>4.2396576470588</x:v>
      </x:c>
      <x:c r="J22" s="45" t="n">
        <x:f>G22/I22</x:f>
        <x:v>589670.2536192606</x:v>
      </x:c>
      <x:c r="K22" s="14" t="str">
        <x:v>ECB-EXR-A-PLN-EUR-SP00-A-2025</x:v>
      </x:c>
      <x:c r="L22" s="14" t="str">
        <x:v>https://data-api.ecb.europa.eu/service/data/EXR/A.PLN.EUR.SP00.A?startPeriod=2025&amp;endPeriod=2025&amp;format=csvdata</x:v>
      </x:c>
      <x:c r="M22" s="14" t="str">
        <x:v>computed</x:v>
      </x:c>
      <x:c r="N22" s="14" t="str">
        <x:v>original_amount_divided_by_ecb_annual_average</x:v>
      </x:c>
    </x:row>
    <x:row r="23" ht="25.5" customHeight="1">
      <x:c r="A23" s="14" t="str">
        <x:v>market_observation</x:v>
      </x:c>
      <x:c r="B23" s="14" t="str">
        <x:v>SE-2024-NICOTINE-E-LIQUID-EXCISE-RECEIPTS</x:v>
      </x:c>
      <x:c r="C23" s="14" t="str">
        <x:v>nicotine_e_liquid_excise_receipts</x:v>
      </x:c>
      <x:c r="D23" s="14" t="str">
        <x:v>Sweden</x:v>
      </x:c>
      <x:c r="E23" s="14" t="n">
        <x:v>2024</x:v>
      </x:c>
      <x:c r="F23" s="14" t="str">
        <x:v>calendar_year</x:v>
      </x:c>
      <x:c r="G23" s="45" t="n">
        <x:v>80000000</x:v>
      </x:c>
      <x:c r="H23" s="45" t="str">
        <x:v>SEK</x:v>
      </x:c>
      <x:c r="I23" s="45" t="n">
        <x:v>11.432519140625</x:v>
      </x:c>
      <x:c r="J23" s="45" t="n">
        <x:f>G23/I23</x:f>
        <x:v>6997582.861306848</x:v>
      </x:c>
      <x:c r="K23" s="14" t="str">
        <x:v>ECB-EXR-A-SEK-EUR-SP00-A-2024</x:v>
      </x:c>
      <x:c r="L23" s="14" t="str">
        <x:v>https://data-api.ecb.europa.eu/service/data/EXR/A.SEK.EUR.SP00.A?startPeriod=2024&amp;endPeriod=2024&amp;format=csvdata</x:v>
      </x:c>
      <x:c r="M23" s="14" t="str">
        <x:v>computed</x:v>
      </x:c>
      <x:c r="N23" s="14" t="str">
        <x:v>original_amount_divided_by_ecb_annual_average</x:v>
      </x:c>
    </x:row>
    <x:row r="24" ht="25.5" customHeight="1">
      <x:c r="A24" s="14" t="str">
        <x:v>market_observation</x:v>
      </x:c>
      <x:c r="B24" s="14" t="str">
        <x:v>GLOBAL-2025-IMARC-COMMERCIAL-ESTIMATE</x:v>
      </x:c>
      <x:c r="C24" s="14" t="str">
        <x:v>commercial_market_estimate</x:v>
      </x:c>
      <x:c r="D24" s="14" t="str">
        <x:v>Global</x:v>
      </x:c>
      <x:c r="E24" s="14" t="n">
        <x:v>2025</x:v>
      </x:c>
      <x:c r="F24" s="14" t="str">
        <x:v>calendar_year_estimate</x:v>
      </x:c>
      <x:c r="G24" s="45" t="n">
        <x:v>26000000000</x:v>
      </x:c>
      <x:c r="H24" s="45" t="str">
        <x:v>USD</x:v>
      </x:c>
      <x:c r="I24" s="45" t="n">
        <x:v>1.1299831372549</x:v>
      </x:c>
      <x:c r="J24" s="45" t="n">
        <x:f>G24/I24</x:f>
        <x:v>23009192918.721367</x:v>
      </x:c>
      <x:c r="K24" s="14" t="str">
        <x:v>ECB-EXR-A-USD-EUR-SP00-A-2025</x:v>
      </x:c>
      <x:c r="L24" s="14" t="str">
        <x:v>https://data-api.ecb.europa.eu/service/data/EXR/A.USD.EUR.SP00.A?startPeriod=2025&amp;endPeriod=2025&amp;format=csvdata</x:v>
      </x:c>
      <x:c r="M24" s="14" t="str">
        <x:v>computed</x:v>
      </x:c>
      <x:c r="N24" s="14" t="str">
        <x:v>original_amount_divided_by_ecb_annual_average</x:v>
      </x:c>
    </x:row>
    <x:row r="25" ht="25.5" customHeight="1">
      <x:c r="A25" s="14" t="str">
        <x:v>market_observation</x:v>
      </x:c>
      <x:c r="B25" s="14" t="str">
        <x:v>GLOBAL-2025-GVR-COMMERCIAL-ESTIMATE</x:v>
      </x:c>
      <x:c r="C25" s="14" t="str">
        <x:v>commercial_market_estimate</x:v>
      </x:c>
      <x:c r="D25" s="14" t="str">
        <x:v>Global</x:v>
      </x:c>
      <x:c r="E25" s="14" t="n">
        <x:v>2025</x:v>
      </x:c>
      <x:c r="F25" s="14" t="str">
        <x:v>calendar_year_estimate</x:v>
      </x:c>
      <x:c r="G25" s="45" t="n">
        <x:v>45700000000</x:v>
      </x:c>
      <x:c r="H25" s="45" t="str">
        <x:v>USD</x:v>
      </x:c>
      <x:c r="I25" s="45" t="n">
        <x:v>1.1299831372549</x:v>
      </x:c>
      <x:c r="J25" s="45" t="n">
        <x:f>G25/I25</x:f>
        <x:v>40443081399.44486</x:v>
      </x:c>
      <x:c r="K25" s="14" t="str">
        <x:v>ECB-EXR-A-USD-EUR-SP00-A-2025</x:v>
      </x:c>
      <x:c r="L25" s="14" t="str">
        <x:v>https://data-api.ecb.europa.eu/service/data/EXR/A.USD.EUR.SP00.A?startPeriod=2025&amp;endPeriod=2025&amp;format=csvdata</x:v>
      </x:c>
      <x:c r="M25" s="14" t="str">
        <x:v>computed</x:v>
      </x:c>
      <x:c r="N25" s="14" t="str">
        <x:v>original_amount_divided_by_ecb_annual_average</x:v>
      </x:c>
    </x:row>
    <x:row r="26" ht="25.5" customHeight="1">
      <x:c r="A26" s="14" t="str">
        <x:v>market_observation</x:v>
      </x:c>
      <x:c r="B26" s="14" t="str">
        <x:v>GLOBAL-2025-FORTUNE-COMMERCIAL-ESTIMATE</x:v>
      </x:c>
      <x:c r="C26" s="14" t="str">
        <x:v>commercial_market_estimate</x:v>
      </x:c>
      <x:c r="D26" s="14" t="str">
        <x:v>Global</x:v>
      </x:c>
      <x:c r="E26" s="14" t="n">
        <x:v>2025</x:v>
      </x:c>
      <x:c r="F26" s="14" t="str">
        <x:v>calendar_year_estimate</x:v>
      </x:c>
      <x:c r="G26" s="45" t="n">
        <x:v>46320000000</x:v>
      </x:c>
      <x:c r="H26" s="45" t="str">
        <x:v>USD</x:v>
      </x:c>
      <x:c r="I26" s="45" t="n">
        <x:v>1.1299831372549</x:v>
      </x:c>
      <x:c r="J26" s="45" t="n">
        <x:f>G26/I26</x:f>
        <x:v>40991762153.66052</x:v>
      </x:c>
      <x:c r="K26" s="14" t="str">
        <x:v>ECB-EXR-A-USD-EUR-SP00-A-2025</x:v>
      </x:c>
      <x:c r="L26" s="14" t="str">
        <x:v>https://data-api.ecb.europa.eu/service/data/EXR/A.USD.EUR.SP00.A?startPeriod=2025&amp;endPeriod=2025&amp;format=csvdata</x:v>
      </x:c>
      <x:c r="M26" s="14" t="str">
        <x:v>computed</x:v>
      </x:c>
      <x:c r="N26" s="14" t="str">
        <x:v>original_amount_divided_by_ecb_annual_average</x:v>
      </x:c>
    </x:row>
    <x:row r="27" ht="25.5" customHeight="1">
      <x:c r="A27" s="14" t="str">
        <x:v>market_observation</x:v>
      </x:c>
      <x:c r="B27" s="14" t="str">
        <x:v>US-2015-FTC-CARTRIDGE-DISPOSABLE-REPORTED-SALES</x:v>
      </x:c>
      <x:c r="C27" s="14" t="str">
        <x:v>ftc_reported_cartridge_and_disposable_sales</x:v>
      </x:c>
      <x:c r="D27" s="14" t="str">
        <x:v>United States</x:v>
      </x:c>
      <x:c r="E27" s="14" t="n">
        <x:v>2015</x:v>
      </x:c>
      <x:c r="F27" s="14" t="str">
        <x:v>calendar_year</x:v>
      </x:c>
      <x:c r="G27" s="45" t="n">
        <x:v>304170046</x:v>
      </x:c>
      <x:c r="H27" s="45" t="str">
        <x:v>USD</x:v>
      </x:c>
      <x:c r="I27" s="45" t="n">
        <x:v>1.109512890625</x:v>
      </x:c>
      <x:c r="J27" s="45" t="n">
        <x:f>G27/I27</x:f>
        <x:v>274147374.5552049</x:v>
      </x:c>
      <x:c r="K27" s="14" t="str">
        <x:v>ECB-EXR-A-USD-EUR-SP00-A-2015</x:v>
      </x:c>
      <x:c r="L27" s="14" t="str">
        <x:v>https://data-api.ecb.europa.eu/service/data/EXR/A.USD.EUR.SP00.A?startPeriod=2015&amp;endPeriod=2015&amp;format=csvdata</x:v>
      </x:c>
      <x:c r="M27" s="14" t="str">
        <x:v>computed</x:v>
      </x:c>
      <x:c r="N27" s="14" t="str">
        <x:v>original_amount_divided_by_ecb_annual_average</x:v>
      </x:c>
    </x:row>
    <x:row r="28" ht="25.5" customHeight="1">
      <x:c r="A28" s="14" t="str">
        <x:v>market_observation</x:v>
      </x:c>
      <x:c r="B28" s="14" t="str">
        <x:v>US-2016-FTC-CARTRIDGE-DISPOSABLE-REPORTED-SALES</x:v>
      </x:c>
      <x:c r="C28" s="14" t="str">
        <x:v>ftc_reported_cartridge_and_disposable_sales</x:v>
      </x:c>
      <x:c r="D28" s="14" t="str">
        <x:v>United States</x:v>
      </x:c>
      <x:c r="E28" s="14" t="n">
        <x:v>2016</x:v>
      </x:c>
      <x:c r="F28" s="14" t="str">
        <x:v>calendar_year</x:v>
      </x:c>
      <x:c r="G28" s="45" t="n">
        <x:v>485707484</x:v>
      </x:c>
      <x:c r="H28" s="45" t="str">
        <x:v>USD</x:v>
      </x:c>
      <x:c r="I28" s="45" t="n">
        <x:v>1.1069031128405</x:v>
      </x:c>
      <x:c r="J28" s="45" t="n">
        <x:f>G28/I28</x:f>
        <x:v>438798552.7961817</x:v>
      </x:c>
      <x:c r="K28" s="14" t="str">
        <x:v>ECB-EXR-A-USD-EUR-SP00-A-2016</x:v>
      </x:c>
      <x:c r="L28" s="14" t="str">
        <x:v>https://data-api.ecb.europa.eu/service/data/EXR/A.USD.EUR.SP00.A?startPeriod=2016&amp;endPeriod=2016&amp;format=csvdata</x:v>
      </x:c>
      <x:c r="M28" s="14" t="str">
        <x:v>computed</x:v>
      </x:c>
      <x:c r="N28" s="14" t="str">
        <x:v>original_amount_divided_by_ecb_annual_average</x:v>
      </x:c>
    </x:row>
    <x:row r="29" ht="25.5" customHeight="1">
      <x:c r="A29" s="14" t="str">
        <x:v>market_observation</x:v>
      </x:c>
      <x:c r="B29" s="14" t="str">
        <x:v>US-2017-FTC-CARTRIDGE-DISPOSABLE-REPORTED-SALES</x:v>
      </x:c>
      <x:c r="C29" s="14" t="str">
        <x:v>ftc_reported_cartridge_and_disposable_sales</x:v>
      </x:c>
      <x:c r="D29" s="14" t="str">
        <x:v>United States</x:v>
      </x:c>
      <x:c r="E29" s="14" t="n">
        <x:v>2017</x:v>
      </x:c>
      <x:c r="F29" s="14" t="str">
        <x:v>calendar_year</x:v>
      </x:c>
      <x:c r="G29" s="45" t="n">
        <x:v>779836399</x:v>
      </x:c>
      <x:c r="H29" s="45" t="str">
        <x:v>USD</x:v>
      </x:c>
      <x:c r="I29" s="45" t="n">
        <x:v>1.1296811764706</x:v>
      </x:c>
      <x:c r="J29" s="45" t="n">
        <x:f>G29/I29</x:f>
        <x:v>690315475.943752</x:v>
      </x:c>
      <x:c r="K29" s="14" t="str">
        <x:v>ECB-EXR-A-USD-EUR-SP00-A-2017</x:v>
      </x:c>
      <x:c r="L29" s="14" t="str">
        <x:v>https://data-api.ecb.europa.eu/service/data/EXR/A.USD.EUR.SP00.A?startPeriod=2017&amp;endPeriod=2017&amp;format=csvdata</x:v>
      </x:c>
      <x:c r="M29" s="14" t="str">
        <x:v>computed</x:v>
      </x:c>
      <x:c r="N29" s="14" t="str">
        <x:v>original_amount_divided_by_ecb_annual_average</x:v>
      </x:c>
    </x:row>
    <x:row r="30" ht="25.5" customHeight="1">
      <x:c r="A30" s="14" t="str">
        <x:v>market_observation</x:v>
      </x:c>
      <x:c r="B30" s="14" t="str">
        <x:v>US-2018-FTC-CARTRIDGE-DISPOSABLE-REPORTED-SALES</x:v>
      </x:c>
      <x:c r="C30" s="14" t="str">
        <x:v>ftc_reported_cartridge_and_disposable_sales</x:v>
      </x:c>
      <x:c r="D30" s="14" t="str">
        <x:v>United States</x:v>
      </x:c>
      <x:c r="E30" s="14" t="n">
        <x:v>2018</x:v>
      </x:c>
      <x:c r="F30" s="14" t="str">
        <x:v>calendar_year</x:v>
      </x:c>
      <x:c r="G30" s="45" t="n">
        <x:v>2043703005</x:v>
      </x:c>
      <x:c r="H30" s="45" t="str">
        <x:v>USD</x:v>
      </x:c>
      <x:c r="I30" s="45" t="n">
        <x:v>1.1809545098039</x:v>
      </x:c>
      <x:c r="J30" s="45" t="n">
        <x:f>G30/I30</x:f>
        <x:v>1730551844.3207107</x:v>
      </x:c>
      <x:c r="K30" s="14" t="str">
        <x:v>ECB-EXR-A-USD-EUR-SP00-A-2018</x:v>
      </x:c>
      <x:c r="L30" s="14" t="str">
        <x:v>https://data-api.ecb.europa.eu/service/data/EXR/A.USD.EUR.SP00.A?startPeriod=2018&amp;endPeriod=2018&amp;format=csvdata</x:v>
      </x:c>
      <x:c r="M30" s="14" t="str">
        <x:v>computed</x:v>
      </x:c>
      <x:c r="N30" s="14" t="str">
        <x:v>original_amount_divided_by_ecb_annual_average</x:v>
      </x:c>
    </x:row>
    <x:row r="31" ht="25.5" customHeight="1">
      <x:c r="A31" s="14" t="str">
        <x:v>market_observation</x:v>
      </x:c>
      <x:c r="B31" s="14" t="str">
        <x:v>US-2019-FTC-CARTRIDGE-DISPOSABLE-REPORTED-SALES</x:v>
      </x:c>
      <x:c r="C31" s="14" t="str">
        <x:v>ftc_reported_cartridge_and_disposable_sales</x:v>
      </x:c>
      <x:c r="D31" s="14" t="str">
        <x:v>United States</x:v>
      </x:c>
      <x:c r="E31" s="14" t="n">
        <x:v>2019</x:v>
      </x:c>
      <x:c r="F31" s="14" t="str">
        <x:v>calendar_year</x:v>
      </x:c>
      <x:c r="G31" s="45" t="n">
        <x:v>2702608307</x:v>
      </x:c>
      <x:c r="H31" s="45" t="str">
        <x:v>USD</x:v>
      </x:c>
      <x:c r="I31" s="45" t="n">
        <x:v>1.1194745098039</x:v>
      </x:c>
      <x:c r="J31" s="45" t="n">
        <x:f>G31/I31</x:f>
        <x:v>2414175832.796246</x:v>
      </x:c>
      <x:c r="K31" s="14" t="str">
        <x:v>ECB-EXR-A-USD-EUR-SP00-A-2019</x:v>
      </x:c>
      <x:c r="L31" s="14" t="str">
        <x:v>https://data-api.ecb.europa.eu/service/data/EXR/A.USD.EUR.SP00.A?startPeriod=2019&amp;endPeriod=2019&amp;format=csvdata</x:v>
      </x:c>
      <x:c r="M31" s="14" t="str">
        <x:v>computed</x:v>
      </x:c>
      <x:c r="N31" s="14" t="str">
        <x:v>original_amount_divided_by_ecb_annual_average</x:v>
      </x:c>
    </x:row>
    <x:row r="32" ht="25.5" customHeight="1">
      <x:c r="A32" s="14" t="str">
        <x:v>market_observation</x:v>
      </x:c>
      <x:c r="B32" s="14" t="str">
        <x:v>US-2020-FTC-CARTRIDGE-DISPOSABLE-REPORTED-SALES</x:v>
      </x:c>
      <x:c r="C32" s="14" t="str">
        <x:v>ftc_reported_cartridge_and_disposable_sales</x:v>
      </x:c>
      <x:c r="D32" s="14" t="str">
        <x:v>United States</x:v>
      </x:c>
      <x:c r="E32" s="14" t="n">
        <x:v>2020</x:v>
      </x:c>
      <x:c r="F32" s="14" t="str">
        <x:v>calendar_year</x:v>
      </x:c>
      <x:c r="G32" s="45" t="n">
        <x:v>2394423105</x:v>
      </x:c>
      <x:c r="H32" s="45" t="str">
        <x:v>USD</x:v>
      </x:c>
      <x:c r="I32" s="45" t="n">
        <x:v>1.1421961089494</x:v>
      </x:c>
      <x:c r="J32" s="45" t="n">
        <x:f>G32/I32</x:f>
        <x:v>2096332745.523365</x:v>
      </x:c>
      <x:c r="K32" s="14" t="str">
        <x:v>ECB-EXR-A-USD-EUR-SP00-A-2020</x:v>
      </x:c>
      <x:c r="L32" s="14" t="str">
        <x:v>https://data-api.ecb.europa.eu/service/data/EXR/A.USD.EUR.SP00.A?startPeriod=2020&amp;endPeriod=2020&amp;format=csvdata</x:v>
      </x:c>
      <x:c r="M32" s="14" t="str">
        <x:v>computed</x:v>
      </x:c>
      <x:c r="N32" s="14" t="str">
        <x:v>original_amount_divided_by_ecb_annual_average</x:v>
      </x:c>
    </x:row>
    <x:row r="33" ht="25.5" customHeight="1">
      <x:c r="A33" s="14" t="str">
        <x:v>market_observation</x:v>
      </x:c>
      <x:c r="B33" s="14" t="str">
        <x:v>US-2021-FTC-CARTRIDGE-DISPOSABLE-REPORTED-SALES</x:v>
      </x:c>
      <x:c r="C33" s="14" t="str">
        <x:v>ftc_reported_cartridge_and_disposable_sales</x:v>
      </x:c>
      <x:c r="D33" s="14" t="str">
        <x:v>United States</x:v>
      </x:c>
      <x:c r="E33" s="14" t="n">
        <x:v>2021</x:v>
      </x:c>
      <x:c r="F33" s="14" t="str">
        <x:v>calendar_year</x:v>
      </x:c>
      <x:c r="G33" s="45" t="n">
        <x:v>2763284338</x:v>
      </x:c>
      <x:c r="H33" s="45" t="str">
        <x:v>USD</x:v>
      </x:c>
      <x:c r="I33" s="45" t="n">
        <x:v>1.1827403100775</x:v>
      </x:c>
      <x:c r="J33" s="45" t="n">
        <x:f>G33/I33</x:f>
        <x:v>2336340711.866778</x:v>
      </x:c>
      <x:c r="K33" s="14" t="str">
        <x:v>ECB-EXR-A-USD-EUR-SP00-A-2021</x:v>
      </x:c>
      <x:c r="L33" s="14" t="str">
        <x:v>https://data-api.ecb.europa.eu/service/data/EXR/A.USD.EUR.SP00.A?startPeriod=2021&amp;endPeriod=2021&amp;format=csvdata</x:v>
      </x:c>
      <x:c r="M33" s="14" t="str">
        <x:v>computed</x:v>
      </x:c>
      <x:c r="N33" s="14" t="str">
        <x:v>original_amount_divided_by_ecb_annual_average</x:v>
      </x:c>
    </x:row>
    <x:row r="34" ht="25.5" customHeight="1">
      <x:c r="A34" s="14" t="str">
        <x:v>scenario_component</x:v>
      </x:c>
      <x:c r="B34" s="14" t="str">
        <x:v>NZ-2024-RETAIL-RANGE</x:v>
      </x:c>
      <x:c r="C34" s="14" t="str">
        <x:v>low.specialistRetailNzd</x:v>
      </x:c>
      <x:c r="D34" s="14" t="str">
        <x:v>New Zealand</x:v>
      </x:c>
      <x:c r="E34" s="14" t="n">
        <x:v>2024</x:v>
      </x:c>
      <x:c r="F34" s="14" t="str">
        <x:v>calendar_year</x:v>
      </x:c>
      <x:c r="G34" s="45" t="n">
        <x:v>258327110.88</x:v>
      </x:c>
      <x:c r="H34" s="45" t="str">
        <x:v>NZD</x:v>
      </x:c>
      <x:c r="I34" s="45" t="n">
        <x:v>1.788048828125</x:v>
      </x:c>
      <x:c r="J34" s="45" t="n">
        <x:f>G34/I34</x:f>
        <x:v>144474304.51375833</x:v>
      </x:c>
      <x:c r="K34" s="14" t="str">
        <x:v>ECB-EXR-A-NZD-EUR-SP00-A-2024</x:v>
      </x:c>
      <x:c r="L34" s="14" t="str">
        <x:v>https://data-api.ecb.europa.eu/service/data/EXR/A.NZD.EUR.SP00.A?startPeriod=2024&amp;endPeriod=2024&amp;format=csvdata</x:v>
      </x:c>
      <x:c r="M34" s="14" t="str">
        <x:v>computed</x:v>
      </x:c>
      <x:c r="N34" s="14" t="str">
        <x:v>original_amount_divided_by_ecb_annual_average</x:v>
      </x:c>
    </x:row>
    <x:row r="35" ht="25.5" customHeight="1">
      <x:c r="A35" s="14" t="str">
        <x:v>scenario_component</x:v>
      </x:c>
      <x:c r="B35" s="14" t="str">
        <x:v>NZ-2024-RETAIL-RANGE</x:v>
      </x:c>
      <x:c r="C35" s="14" t="str">
        <x:v>low.generalRetailRpsNzd</x:v>
      </x:c>
      <x:c r="D35" s="14" t="str">
        <x:v>New Zealand</x:v>
      </x:c>
      <x:c r="E35" s="14" t="n">
        <x:v>2024</x:v>
      </x:c>
      <x:c r="F35" s="14" t="str">
        <x:v>calendar_year</x:v>
      </x:c>
      <x:c r="G35" s="45" t="n">
        <x:v>275335272.8</x:v>
      </x:c>
      <x:c r="H35" s="45" t="str">
        <x:v>NZD</x:v>
      </x:c>
      <x:c r="I35" s="45" t="n">
        <x:v>1.788048828125</x:v>
      </x:c>
      <x:c r="J35" s="45" t="n">
        <x:f>G35/I35</x:f>
        <x:v>153986439.55865824</x:v>
      </x:c>
      <x:c r="K35" s="14" t="str">
        <x:v>ECB-EXR-A-NZD-EUR-SP00-A-2024</x:v>
      </x:c>
      <x:c r="L35" s="14" t="str">
        <x:v>https://data-api.ecb.europa.eu/service/data/EXR/A.NZD.EUR.SP00.A?startPeriod=2024&amp;endPeriod=2024&amp;format=csvdata</x:v>
      </x:c>
      <x:c r="M35" s="14" t="str">
        <x:v>computed</x:v>
      </x:c>
      <x:c r="N35" s="14" t="str">
        <x:v>original_amount_divided_by_ecb_annual_average</x:v>
      </x:c>
    </x:row>
    <x:row r="36" ht="25.5" customHeight="1">
      <x:c r="A36" s="14" t="str">
        <x:v>scenario_component</x:v>
      </x:c>
      <x:c r="B36" s="14" t="str">
        <x:v>NZ-2024-RETAIL-RANGE</x:v>
      </x:c>
      <x:c r="C36" s="14" t="str">
        <x:v>low.combinedNzd</x:v>
      </x:c>
      <x:c r="D36" s="14" t="str">
        <x:v>New Zealand</x:v>
      </x:c>
      <x:c r="E36" s="14" t="n">
        <x:v>2024</x:v>
      </x:c>
      <x:c r="F36" s="14" t="str">
        <x:v>calendar_year</x:v>
      </x:c>
      <x:c r="G36" s="45" t="n">
        <x:v>533662383.68</x:v>
      </x:c>
      <x:c r="H36" s="45" t="str">
        <x:v>NZD</x:v>
      </x:c>
      <x:c r="I36" s="45" t="n">
        <x:v>1.788048828125</x:v>
      </x:c>
      <x:c r="J36" s="45" t="n">
        <x:f>G36/I36</x:f>
        <x:v>298460744.0724166</x:v>
      </x:c>
      <x:c r="K36" s="14" t="str">
        <x:v>ECB-EXR-A-NZD-EUR-SP00-A-2024</x:v>
      </x:c>
      <x:c r="L36" s="14" t="str">
        <x:v>https://data-api.ecb.europa.eu/service/data/EXR/A.NZD.EUR.SP00.A?startPeriod=2024&amp;endPeriod=2024&amp;format=csvdata</x:v>
      </x:c>
      <x:c r="M36" s="14" t="str">
        <x:v>computed</x:v>
      </x:c>
      <x:c r="N36" s="14" t="str">
        <x:v>original_amount_divided_by_ecb_annual_average</x:v>
      </x:c>
    </x:row>
    <x:row r="37" ht="25.5" customHeight="1">
      <x:c r="A37" s="14" t="str">
        <x:v>scenario_component</x:v>
      </x:c>
      <x:c r="B37" s="14" t="str">
        <x:v>NZ-2024-RETAIL-RANGE</x:v>
      </x:c>
      <x:c r="C37" s="14" t="str">
        <x:v>base.specialistRetailNzd</x:v>
      </x:c>
      <x:c r="D37" s="14" t="str">
        <x:v>New Zealand</x:v>
      </x:c>
      <x:c r="E37" s="14" t="n">
        <x:v>2024</x:v>
      </x:c>
      <x:c r="F37" s="14" t="str">
        <x:v>calendar_year</x:v>
      </x:c>
      <x:c r="G37" s="45" t="n">
        <x:v>274180410.21</x:v>
      </x:c>
      <x:c r="H37" s="45" t="str">
        <x:v>NZD</x:v>
      </x:c>
      <x:c r="I37" s="45" t="n">
        <x:v>1.788048828125</x:v>
      </x:c>
      <x:c r="J37" s="45" t="n">
        <x:f>G37/I37</x:f>
        <x:v>153340560.89369413</x:v>
      </x:c>
      <x:c r="K37" s="14" t="str">
        <x:v>ECB-EXR-A-NZD-EUR-SP00-A-2024</x:v>
      </x:c>
      <x:c r="L37" s="14" t="str">
        <x:v>https://data-api.ecb.europa.eu/service/data/EXR/A.NZD.EUR.SP00.A?startPeriod=2024&amp;endPeriod=2024&amp;format=csvdata</x:v>
      </x:c>
      <x:c r="M37" s="14" t="str">
        <x:v>computed</x:v>
      </x:c>
      <x:c r="N37" s="14" t="str">
        <x:v>original_amount_divided_by_ecb_annual_average</x:v>
      </x:c>
    </x:row>
    <x:row r="38" ht="25.5" customHeight="1">
      <x:c r="A38" s="14" t="str">
        <x:v>scenario_component</x:v>
      </x:c>
      <x:c r="B38" s="14" t="str">
        <x:v>NZ-2024-RETAIL-RANGE</x:v>
      </x:c>
      <x:c r="C38" s="14" t="str">
        <x:v>base.generalRetailRpsNzd</x:v>
      </x:c>
      <x:c r="D38" s="14" t="str">
        <x:v>New Zealand</x:v>
      </x:c>
      <x:c r="E38" s="14" t="n">
        <x:v>2024</x:v>
      </x:c>
      <x:c r="F38" s="14" t="str">
        <x:v>calendar_year</x:v>
      </x:c>
      <x:c r="G38" s="45" t="n">
        <x:v>367631277.68</x:v>
      </x:c>
      <x:c r="H38" s="45" t="str">
        <x:v>NZD</x:v>
      </x:c>
      <x:c r="I38" s="45" t="n">
        <x:v>1.788048828125</x:v>
      </x:c>
      <x:c r="J38" s="45" t="n">
        <x:f>G38/I38</x:f>
        <x:v>205604719.4558489</x:v>
      </x:c>
      <x:c r="K38" s="14" t="str">
        <x:v>ECB-EXR-A-NZD-EUR-SP00-A-2024</x:v>
      </x:c>
      <x:c r="L38" s="14" t="str">
        <x:v>https://data-api.ecb.europa.eu/service/data/EXR/A.NZD.EUR.SP00.A?startPeriod=2024&amp;endPeriod=2024&amp;format=csvdata</x:v>
      </x:c>
      <x:c r="M38" s="14" t="str">
        <x:v>computed</x:v>
      </x:c>
      <x:c r="N38" s="14" t="str">
        <x:v>original_amount_divided_by_ecb_annual_average</x:v>
      </x:c>
    </x:row>
    <x:row r="39" ht="25.5" customHeight="1">
      <x:c r="A39" s="14" t="str">
        <x:v>scenario_component</x:v>
      </x:c>
      <x:c r="B39" s="14" t="str">
        <x:v>NZ-2024-RETAIL-RANGE</x:v>
      </x:c>
      <x:c r="C39" s="14" t="str">
        <x:v>base.combinedNzd</x:v>
      </x:c>
      <x:c r="D39" s="14" t="str">
        <x:v>New Zealand</x:v>
      </x:c>
      <x:c r="E39" s="14" t="n">
        <x:v>2024</x:v>
      </x:c>
      <x:c r="F39" s="14" t="str">
        <x:v>calendar_year</x:v>
      </x:c>
      <x:c r="G39" s="45" t="n">
        <x:v>641811687.89</x:v>
      </x:c>
      <x:c r="H39" s="45" t="str">
        <x:v>NZD</x:v>
      </x:c>
      <x:c r="I39" s="45" t="n">
        <x:v>1.788048828125</x:v>
      </x:c>
      <x:c r="J39" s="45" t="n">
        <x:f>G39/I39</x:f>
        <x:v>358945280.34954304</x:v>
      </x:c>
      <x:c r="K39" s="14" t="str">
        <x:v>ECB-EXR-A-NZD-EUR-SP00-A-2024</x:v>
      </x:c>
      <x:c r="L39" s="14" t="str">
        <x:v>https://data-api.ecb.europa.eu/service/data/EXR/A.NZD.EUR.SP00.A?startPeriod=2024&amp;endPeriod=2024&amp;format=csvdata</x:v>
      </x:c>
      <x:c r="M39" s="14" t="str">
        <x:v>computed</x:v>
      </x:c>
      <x:c r="N39" s="14" t="str">
        <x:v>original_amount_divided_by_ecb_annual_average</x:v>
      </x:c>
    </x:row>
    <x:row r="40" ht="25.5" customHeight="1">
      <x:c r="A40" s="14" t="str">
        <x:v>scenario_component</x:v>
      </x:c>
      <x:c r="B40" s="14" t="str">
        <x:v>NZ-2024-RETAIL-RANGE</x:v>
      </x:c>
      <x:c r="C40" s="14" t="str">
        <x:v>high.specialistRetailNzd</x:v>
      </x:c>
      <x:c r="D40" s="14" t="str">
        <x:v>New Zealand</x:v>
      </x:c>
      <x:c r="E40" s="14" t="n">
        <x:v>2024</x:v>
      </x:c>
      <x:c r="F40" s="14" t="str">
        <x:v>calendar_year</x:v>
      </x:c>
      <x:c r="G40" s="45" t="n">
        <x:v>274180410.21</x:v>
      </x:c>
      <x:c r="H40" s="45" t="str">
        <x:v>NZD</x:v>
      </x:c>
      <x:c r="I40" s="45" t="n">
        <x:v>1.788048828125</x:v>
      </x:c>
      <x:c r="J40" s="45" t="n">
        <x:f>G40/I40</x:f>
        <x:v>153340560.89369413</x:v>
      </x:c>
      <x:c r="K40" s="14" t="str">
        <x:v>ECB-EXR-A-NZD-EUR-SP00-A-2024</x:v>
      </x:c>
      <x:c r="L40" s="14" t="str">
        <x:v>https://data-api.ecb.europa.eu/service/data/EXR/A.NZD.EUR.SP00.A?startPeriod=2024&amp;endPeriod=2024&amp;format=csvdata</x:v>
      </x:c>
      <x:c r="M40" s="14" t="str">
        <x:v>computed</x:v>
      </x:c>
      <x:c r="N40" s="14" t="str">
        <x:v>original_amount_divided_by_ecb_annual_average</x:v>
      </x:c>
    </x:row>
    <x:row r="41" ht="25.5" customHeight="1">
      <x:c r="A41" s="14" t="str">
        <x:v>scenario_component</x:v>
      </x:c>
      <x:c r="B41" s="14" t="str">
        <x:v>NZ-2024-RETAIL-RANGE</x:v>
      </x:c>
      <x:c r="C41" s="14" t="str">
        <x:v>high.generalRetailRpsNzd</x:v>
      </x:c>
      <x:c r="D41" s="14" t="str">
        <x:v>New Zealand</x:v>
      </x:c>
      <x:c r="E41" s="14" t="n">
        <x:v>2024</x:v>
      </x:c>
      <x:c r="F41" s="14" t="str">
        <x:v>calendar_year</x:v>
      </x:c>
      <x:c r="G41" s="45" t="n">
        <x:v>456995382.29</x:v>
      </x:c>
      <x:c r="H41" s="45" t="str">
        <x:v>NZD</x:v>
      </x:c>
      <x:c r="I41" s="45" t="n">
        <x:v>1.788048828125</x:v>
      </x:c>
      <x:c r="J41" s="45" t="n">
        <x:f>G41/I41</x:f>
        <x:v>255583278.88015154</x:v>
      </x:c>
      <x:c r="K41" s="14" t="str">
        <x:v>ECB-EXR-A-NZD-EUR-SP00-A-2024</x:v>
      </x:c>
      <x:c r="L41" s="14" t="str">
        <x:v>https://data-api.ecb.europa.eu/service/data/EXR/A.NZD.EUR.SP00.A?startPeriod=2024&amp;endPeriod=2024&amp;format=csvdata</x:v>
      </x:c>
      <x:c r="M41" s="14" t="str">
        <x:v>computed</x:v>
      </x:c>
      <x:c r="N41" s="14" t="str">
        <x:v>original_amount_divided_by_ecb_annual_average</x:v>
      </x:c>
    </x:row>
    <x:row r="42" ht="25.5" customHeight="1">
      <x:c r="A42" s="14" t="str">
        <x:v>scenario_component</x:v>
      </x:c>
      <x:c r="B42" s="14" t="str">
        <x:v>NZ-2024-RETAIL-RANGE</x:v>
      </x:c>
      <x:c r="C42" s="14" t="str">
        <x:v>high.combinedNzd</x:v>
      </x:c>
      <x:c r="D42" s="14" t="str">
        <x:v>New Zealand</x:v>
      </x:c>
      <x:c r="E42" s="14" t="n">
        <x:v>2024</x:v>
      </x:c>
      <x:c r="F42" s="14" t="str">
        <x:v>calendar_year</x:v>
      </x:c>
      <x:c r="G42" s="45" t="n">
        <x:v>731175792.5</x:v>
      </x:c>
      <x:c r="H42" s="45" t="str">
        <x:v>NZD</x:v>
      </x:c>
      <x:c r="I42" s="45" t="n">
        <x:v>1.788048828125</x:v>
      </x:c>
      <x:c r="J42" s="45" t="n">
        <x:f>G42/I42</x:f>
        <x:v>408923839.7738457</x:v>
      </x:c>
      <x:c r="K42" s="14" t="str">
        <x:v>ECB-EXR-A-NZD-EUR-SP00-A-2024</x:v>
      </x:c>
      <x:c r="L42" s="14" t="str">
        <x:v>https://data-api.ecb.europa.eu/service/data/EXR/A.NZD.EUR.SP00.A?startPeriod=2024&amp;endPeriod=2024&amp;format=csvdata</x:v>
      </x:c>
      <x:c r="M42" s="14" t="str">
        <x:v>computed</x:v>
      </x:c>
      <x:c r="N42" s="14" t="str">
        <x:v>original_amount_divided_by_ecb_annual_average</x:v>
      </x:c>
    </x:row>
    <x:row r="43" ht="25.5" customHeight="1">
      <x:c r="A43" s="14" t="str">
        <x:v>model</x:v>
      </x:c>
      <x:c r="B43" s="14" t="str">
        <x:v>DE-2025-LIQUID-RETAIL-EQUIVALENT-RANGE</x:v>
      </x:c>
      <x:c r="C43" s="14" t="str">
        <x:v>low</x:v>
      </x:c>
      <x:c r="D43" s="14"/>
      <x:c r="E43" s="14" t="n">
        <x:v>2025</x:v>
      </x:c>
      <x:c r="F43" s="14" t="str">
        <x:v>calendar_year</x:v>
      </x:c>
      <x:c r="G43" s="45" t="n">
        <x:v>667920000</x:v>
      </x:c>
      <x:c r="H43" s="45" t="str">
        <x:v>EUR</x:v>
      </x:c>
      <x:c r="I43" s="45" t="n">
        <x:v>1</x:v>
      </x:c>
      <x:c r="J43" s="45" t="n">
        <x:f>G43</x:f>
        <x:v>667920000</x:v>
      </x:c>
      <x:c r="K43" s="14" t="str">
        <x:v>EUR-IDENTITY</x:v>
      </x:c>
      <x:c r="L43" s="14" t="str">
        <x:v>https://www.ecb.europa.eu/stats/policy_and_exchange_rates/euro_reference_exchange_rates/html/index.en.html</x:v>
      </x:c>
      <x:c r="M43" s="14" t="str">
        <x:v>already_eur</x:v>
      </x:c>
      <x:c r="N43" s="14" t="str">
        <x:v>original_currency_already_eur</x:v>
      </x:c>
    </x:row>
    <x:row r="44" ht="25.5" customHeight="1">
      <x:c r="A44" s="14" t="str">
        <x:v>model</x:v>
      </x:c>
      <x:c r="B44" s="14" t="str">
        <x:v>DE-2025-LIQUID-RETAIL-EQUIVALENT-RANGE</x:v>
      </x:c>
      <x:c r="C44" s="14" t="str">
        <x:v>central</x:v>
      </x:c>
      <x:c r="D44" s="14"/>
      <x:c r="E44" s="14" t="n">
        <x:v>2025</x:v>
      </x:c>
      <x:c r="F44" s="14" t="str">
        <x:v>calendar_year</x:v>
      </x:c>
      <x:c r="G44" s="45" t="n">
        <x:v>1199220000</x:v>
      </x:c>
      <x:c r="H44" s="45" t="str">
        <x:v>EUR</x:v>
      </x:c>
      <x:c r="I44" s="45" t="n">
        <x:v>1</x:v>
      </x:c>
      <x:c r="J44" s="45" t="n">
        <x:f>G44</x:f>
        <x:v>1199220000</x:v>
      </x:c>
      <x:c r="K44" s="14" t="str">
        <x:v>EUR-IDENTITY</x:v>
      </x:c>
      <x:c r="L44" s="14" t="str">
        <x:v>https://www.ecb.europa.eu/stats/policy_and_exchange_rates/euro_reference_exchange_rates/html/index.en.html</x:v>
      </x:c>
      <x:c r="M44" s="14" t="str">
        <x:v>already_eur</x:v>
      </x:c>
      <x:c r="N44" s="14" t="str">
        <x:v>original_currency_already_eur</x:v>
      </x:c>
    </x:row>
    <x:row r="45" ht="25.5" customHeight="1">
      <x:c r="A45" s="15" t="str">
        <x:v>model</x:v>
      </x:c>
      <x:c r="B45" s="15" t="str">
        <x:v>DE-2025-LIQUID-RETAIL-EQUIVALENT-RANGE</x:v>
      </x:c>
      <x:c r="C45" s="15" t="str">
        <x:v>high</x:v>
      </x:c>
      <x:c r="D45" s="15"/>
      <x:c r="E45" s="15" t="n">
        <x:v>2025</x:v>
      </x:c>
      <x:c r="F45" s="15" t="str">
        <x:v>calendar_year</x:v>
      </x:c>
      <x:c r="G45" s="46" t="n">
        <x:v>1654620000</x:v>
      </x:c>
      <x:c r="H45" s="46" t="str">
        <x:v>EUR</x:v>
      </x:c>
      <x:c r="I45" s="46" t="n">
        <x:v>1</x:v>
      </x:c>
      <x:c r="J45" s="46" t="n">
        <x:f>G45</x:f>
        <x:v>1654620000</x:v>
      </x:c>
      <x:c r="K45" s="15" t="str">
        <x:v>EUR-IDENTITY</x:v>
      </x:c>
      <x:c r="L45" s="15" t="str">
        <x:v>https://www.ecb.europa.eu/stats/policy_and_exchange_rates/euro_reference_exchange_rates/html/index.en.html</x:v>
      </x:c>
      <x:c r="M45" s="15" t="str">
        <x:v>already_eur</x:v>
      </x:c>
      <x:c r="N45" s="15" t="str">
        <x:v>original_currency_already_eur</x:v>
      </x:c>
    </x:row>
  </x:sheetData>
  <x:pageMargins left="0.7" right="0.7" top="0.75" bottom="0.75" header="0.3" footer="0.3"/>
  <x:tableParts count="1">
    <x:tablePart xmlns:r="http://schemas.openxmlformats.org/officeDocument/2006/relationships" r:id="R11a75602b0ac42de"/>
  </x:tableParts>
</x:worksheet>
</file>