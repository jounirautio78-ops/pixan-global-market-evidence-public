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e39d7cd040142bc" /></Relationships>
</file>

<file path=xl/workbook.xml><?xml version="1.0" encoding="utf-8"?>
<x:workbook xmlns:x="http://schemas.openxmlformats.org/spreadsheetml/2006/main">
  <x:sheets>
    <x:sheet xmlns:r="http://schemas.openxmlformats.org/officeDocument/2006/relationships" name="Evidence Register" sheetId="1" r:id="R0be318fc6c234b95"/>
    <x:sheet xmlns:r="http://schemas.openxmlformats.org/officeDocument/2006/relationships" name="Summary" sheetId="2" r:id="R7a21837fe5764959"/>
    <x:sheet xmlns:r="http://schemas.openxmlformats.org/officeDocument/2006/relationships" name="Reviewer questions" sheetId="3" r:id="R1da2b31e28be48eb"/>
    <x:sheet xmlns:r="http://schemas.openxmlformats.org/officeDocument/2006/relationships" name="Sources" sheetId="4" r:id="R39e5335d567a405f"/>
    <x:sheet xmlns:r="http://schemas.openxmlformats.org/officeDocument/2006/relationships" name="EUR equivalents" sheetId="5" r:id="Re44a4e909c2a433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6ac39350b0345b5" /><Relationship Type="http://schemas.openxmlformats.org/officeDocument/2006/relationships/theme" Target="/xl/theme/theme1.xml" Id="Rafd707bed14447c7" /><Relationship Type="http://schemas.openxmlformats.org/officeDocument/2006/relationships/sharedStrings" Target="/xl/sharedStrings.xml" Id="Rcaca14bd77654ea7" /><Relationship Type="http://schemas.openxmlformats.org/officeDocument/2006/relationships/worksheet" Target="/xl/worksheets/sheet1.xml" Id="R0be318fc6c234b95" /><Relationship Type="http://schemas.openxmlformats.org/officeDocument/2006/relationships/worksheet" Target="/xl/worksheets/sheet2.xml" Id="R7a21837fe5764959" /><Relationship Type="http://schemas.openxmlformats.org/officeDocument/2006/relationships/worksheet" Target="/xl/worksheets/sheet3.xml" Id="R1da2b31e28be48eb" /><Relationship Type="http://schemas.openxmlformats.org/officeDocument/2006/relationships/worksheet" Target="/xl/worksheets/sheet4.xml" Id="R39e5335d567a405f" /><Relationship Type="http://schemas.openxmlformats.org/officeDocument/2006/relationships/worksheet" Target="/xl/worksheets/sheet5.xml" Id="Re44a4e909c2a433c"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79"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43a70f44cfa4102" /></Relationships>
</file>

<file path=xl/worksheets/_rels/sheet3.xml.rels>&#65279;<?xml version="1.0" encoding="utf-8"?><Relationships xmlns="http://schemas.openxmlformats.org/package/2006/relationships"><Relationship Type="http://schemas.openxmlformats.org/officeDocument/2006/relationships/table" Target="/xl/tables/table2.xml" Id="R362dc33430c844c6" /></Relationships>
</file>

<file path=xl/worksheets/_rels/sheet4.xml.rels>&#65279;<?xml version="1.0" encoding="utf-8"?><Relationships xmlns="http://schemas.openxmlformats.org/package/2006/relationships"><Relationship Type="http://schemas.openxmlformats.org/officeDocument/2006/relationships/table" Target="/xl/tables/table3.xml" Id="Rbeb72f7eb4cb42f1" /></Relationships>
</file>

<file path=xl/worksheets/_rels/sheet5.xml.rels>&#65279;<?xml version="1.0" encoding="utf-8"?><Relationships xmlns="http://schemas.openxmlformats.org/package/2006/relationships"><Relationship Type="http://schemas.openxmlformats.org/officeDocument/2006/relationships/table" Target="/xl/tables/table4.xml" Id="R0554f810ee9045e0"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atlas contains a fixed research universe of 195 countries.</x:v>
      </x:c>
      <x:c r="B10" s="14" t="str">
        <x:v>Market scope</x:v>
      </x:c>
      <x:c r="C10" s="14" t="str">
        <x:v>countryCount = 195; universe = UN193+VA+PS.</x:v>
      </x:c>
      <x:c r="D10" s="14" t="str">
        <x:v>https://www.un.org/en/about-us/member-states ; https://www.un.org/en/about-us/non-member-states</x:v>
      </x:c>
      <x:c r="E10" s="14" t="str">
        <x:v>2026-07-24</x:v>
      </x:c>
      <x:c r="F10" s="14" t="str">
        <x:v>193 UN Member States + Holy See + State of Palestine.</x:v>
      </x:c>
      <x:c r="G10" s="14" t="str">
        <x:v>The research frame is not evidence of proven market coverage.</x:v>
      </x:c>
      <x:c r="H10" s="14" t="str">
        <x:v>Confirmed</x:v>
      </x:c>
      <x:c r="I10" s="14" t="str">
        <x:v>There is no gap in the universe definition; evidence coverage is assessed separately.</x:v>
      </x:c>
    </x:row>
    <x:row r="11" ht="58.5" customHeight="1">
      <x:c r="A11" s="14" t="str">
        <x:v>The public package contains 34 annual observations sourced from official routes across seven countries.</x:v>
      </x:c>
      <x:c r="B11" s="14" t="str">
        <x:v>Market size</x:v>
      </x:c>
      <x:c r="C11" s="14" t="str">
        <x:v>The countries are Canada, Germany, Finland, New Zealand, Poland, Sweden and the United States. Transaction levels, currencies and product scopes differ.</x:v>
      </x:c>
      <x:c r="D11" s="14" t="str">
        <x:v>site/data/market-values.json (machine-readable source file of the public site)</x:v>
      </x:c>
      <x:c r="E11" s="14" t="str">
        <x:v>2026-07-24</x:v>
      </x:c>
      <x:c r="F11" s="14" t="str">
        <x:v>Count of annual observations whose evidenceStatus begins official_.</x:v>
      </x:c>
      <x:c r="G11" s="14" t="str">
        <x:v>Official publication does not make the metrics automatically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2026-07-24</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58.5" customHeight="1">
      <x:c r="A15" s="14" t="str">
        <x:v>A conservative text classification identifies NZD 274,180,410.21 as New Zealand 2024 vaping-product-row raw sales.</x:v>
      </x:c>
      <x:c r="B15" s="14" t="str">
        <x:v>Market size</x:v>
      </x:c>
      <x:c r="C15" s="14" t="str">
        <x:v>NZD 2,137,085.24 is identified as adjacent notifiable products and NZD 4,367,017.37 as unresolved product type. The vaping exact-row-de-duplication sensitivity is NZD 258,327,110.88, but it is not a corrected estimate.</x:v>
      </x:c>
      <x:c r="D15" s="14" t="str">
        <x:v>https://www.health.govt.nz/regulation-legislation/vaping-herbal-smoking-and-smokeless-tobacco/requirements/complete-a-notifiable-product-annual-return/annual-returns-2024 ; source/NZ_2024_ANNUAL_RETURNS_RECONCILIATION.md</x:v>
      </x:c>
      <x:c r="E15" s="14" t="str">
        <x:v>2026-07-24</x:v>
      </x:c>
      <x:c r="F15" s="14" t="str">
        <x:v>Conservative Product type text classification of product rows in the official XLSX files; classification and repeated-row sensitivities are reported separately.</x:v>
      </x:c>
      <x:c r="G15" s="14" t="str">
        <x:v>Product-type corruption and unresolved rows prevent interpretation as a complete vaping market.</x:v>
      </x:c>
      <x:c r="H15" s="14" t="str">
        <x:v>Supported</x:v>
      </x:c>
      <x:c r="I15" s="14" t="str">
        <x:v>Obtain the authority's product-code dictionary, repeat-row semantics, complete channel coverage and GST basis. The figure is not donor-eligible.</x:v>
      </x:c>
    </x:row>
    <x:row r="16" ht="93" customHeight="1">
      <x:c r="A16" s="14" t="str">
        <x:v>New Zealand's supported 2024 identified-vaping retail sensitivity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x:v>
      </x:c>
      <x:c r="E16" s="14" t="str">
        <x:v>2026-07-24</x:v>
      </x:c>
      <x:c r="F16" s="17"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2026-07-24</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site/data/country-scenarios.json</x:v>
      </x:c>
      <x:c r="E19" s="14" t="str">
        <x:v>2026-07-24</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Statistics Canada's Canada series contains seven full-year consumer-retail estimates for 2019–2025; the 2024 value is CAD 1,219,160,000.</x:v>
      </x:c>
      <x:c r="B21" s="14" t="str">
        <x:v>Market size</x:v>
      </x:c>
      <x:c r="C21" s="14" t="str">
        <x:v>The annual estimate is the sum of four RCS quarters for NAPCS 5619122. Health Canada's 2024 manufacturer/importer shipment value is CAD 1,160,753,796.78.</x:v>
      </x:c>
      <x:c r="D21" s="14" t="str">
        <x:v>https://www150.statcan.gc.ca/t1/tbl1/en/tv.action?pid=2010007101 ; https://health-infobase.canada.ca/substance-use/vaping/sales/ ; source/CANADA_RCS_2019_2025_RETAIL_SALES.md</x:v>
      </x:c>
      <x:c r="E21" s="14" t="str">
        <x:v>2026-07-24</x:v>
      </x:c>
      <x:c r="F21" s="14" t="str">
        <x:v>CAD 1,219,160,000 − CAD 1,160,753,796.78 = CAD 58,406,203.22; RCS / Health Canada = 1.0503175, or +5.03%.</x:v>
      </x:c>
      <x:c r="G21" s="14" t="str">
        <x:v>Every 2024 quarter carries quality flag E. Vaping-specific channel completeness is not quantified and the vaping-excise basis is not confirmed.</x:v>
      </x:c>
      <x:c r="H21" s="14" t="str">
        <x:v>Supported</x:v>
      </x:c>
      <x:c r="I21" s="14" t="str">
        <x:v>The retail-to-shipment bridge does not yet explain margin, inventory, returns, timing, product scope or tax treatment; Canada is not an accepted donor.</x:v>
      </x:c>
    </x:row>
    <x:row r="22" ht="58.5" customHeight="1">
      <x:c r="A22" s="14" t="str">
        <x:v>Canada's 2024 shipments included 1,251,843 litres.</x:v>
      </x:c>
      <x:c r="B22" s="14" t="str">
        <x:v>Market size</x:v>
      </x:c>
      <x:c r="C22" s="14" t="str">
        <x:v>The total covers the reported vaporisable-substance categories. It is a physical volume, not a retail market value.</x:v>
      </x:c>
      <x:c r="D22" s="14" t="str">
        <x:v>https://health-infobase.canada.ca/substance-use/vaping/sales/</x:v>
      </x:c>
      <x:c r="E22" s="14" t="str">
        <x:v>2024</x:v>
      </x:c>
      <x:c r="F22" s="14" t="str">
        <x:v>Sum of the reported liquid-containing product categories.</x:v>
      </x:c>
      <x:c r="G22" s="14" t="str">
        <x:v>Physical volume is not treated as market value.</x:v>
      </x:c>
      <x:c r="H22" s="14" t="str">
        <x:v>Confirmed</x:v>
      </x:c>
      <x:c r="I22" s="14" t="str">
        <x:v>Product mix, average price and retail-channel evidence are required.</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 reported 805,441 litres in 2023.</x:v>
      </x:c>
      <x:c r="B27" s="14" t="str">
        <x:v>Market size</x:v>
      </x:c>
      <x:c r="C27" s="14" t="str">
        <x:v>The official parliamentary response reports a physical volume. It excludes devices and is not an observed retail value.</x:v>
      </x:c>
      <x:c r="D27" s="14" t="str">
        <x:v>https://api.sejm.gov.pl/sejm/term10/interpellations/attachment/ATTDDEJZ5/i07255-o1.pdf</x:v>
      </x:c>
      <x:c r="E27" s="14" t="str">
        <x:v>2023</x:v>
      </x:c>
      <x:c r="F27" s="14" t="str">
        <x:v>Direct use of the amount reported in the official response.</x:v>
      </x:c>
      <x:c r="G27" s="14" t="str">
        <x:v>Coverage is interpreted within the limitations stated in the original response.</x:v>
      </x:c>
      <x:c r="H27" s="14" t="str">
        <x:v>Confirmed</x:v>
      </x:c>
      <x:c r="I27" s="14" t="str">
        <x:v>A newer series and observed retail value are required.</x:v>
      </x:c>
    </x:row>
    <x:row r="28" ht="58.5" customHeight="1">
      <x:c r="A28" s="14" t="str">
        <x:v>Poland reported PLN 993.1 million in e-liquid excise receipts for 2025.</x:v>
      </x:c>
      <x:c r="B28" s="14" t="str">
        <x:v>Market size</x:v>
      </x:c>
      <x:c r="C28" s="14" t="str">
        <x:v>The official parliamentary response reports a tax amount, not sales or retail value. The amount is separate from devices and parts.</x:v>
      </x:c>
      <x:c r="D28" s="14" t="str">
        <x:v>https://api.sejm.gov.pl/sejm/term10/interpellations/attachment/ATTDVKHSJ/i17526-o1.pdf</x:v>
      </x:c>
      <x:c r="E28" s="14" t="str">
        <x:v>2025</x:v>
      </x:c>
      <x:c r="F28" s="14" t="str">
        <x:v>Direct use of the amount reported in the official response.</x:v>
      </x:c>
      <x:c r="G28" s="14" t="str">
        <x:v>The tax amount is not treated as retail value.</x:v>
      </x:c>
      <x:c r="H28" s="14" t="str">
        <x:v>Confirmed</x:v>
      </x:c>
      <x:c r="I28" s="14" t="str">
        <x:v>Finality and reconciliation to the tax base are required.</x:v>
      </x:c>
    </x:row>
    <x:row r="29" ht="58.5" customHeight="1">
      <x:c r="A29" s="14" t="str">
        <x:v>Sweden taxed 26,000 litres of nicotine liquid in 2024.</x:v>
      </x:c>
      <x:c r="B29" s="14" t="str">
        <x:v>Market size</x:v>
      </x:c>
      <x:c r="C29" s="14" t="str">
        <x:v>Table 7.5 reports a rounded official amount. It covers nicotine liquid only, excludes devices and nicotine-free liquid, and is not retail value.</x:v>
      </x:c>
      <x:c r="D29" s="14" t="str">
        <x:v>https://www.regeringen.se/contentassets/1ed01e00001b42e5ad8d47433db63ece/berakningskonventioner_2026.pdf</x:v>
      </x:c>
      <x:c r="E29" s="14" t="str">
        <x:v>2024</x:v>
      </x:c>
      <x:c r="F29" s="14" t="str">
        <x:v>Direct use of the calculation basis stated by the government.</x:v>
      </x:c>
      <x:c r="G29" s="14" t="str">
        <x:v>The observation is not treated as the full market.</x:v>
      </x:c>
      <x:c r="H29" s="14" t="str">
        <x:v>Confirmed</x:v>
      </x:c>
      <x:c r="I29" s="14" t="str">
        <x:v>Observed retail value and device data are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2026-07-24</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b43a70f44cfa410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2026.07.24-19</x:v>
      </x:c>
    </x:row>
    <x:row r="6" ht="20.25" customHeight="1">
      <x:c r="A6" s="29" t="str">
        <x:v>Updated</x:v>
      </x:c>
      <x:c r="B6" s="14" t="str">
        <x:v>2026-07-24</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29</x:v>
      </x:c>
    </x:row>
    <x:row r="12" ht="20.25" customHeight="1">
      <x:c r="A12" s="37" t="str">
        <x:v>Supported</x:v>
      </x:c>
      <x:c r="B12" s="14" t="n">
        <x:f>COUNTIF('Evidence Register'!$H$2:$H$54,A12)</x:f>
        <x:v>11</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362dc33430c844c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2026-07-24</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2026-07-24</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2026-07-24</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2026-07-24</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2026-07-24</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2026-07-24</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2026-07-24</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2026-07-24</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2026-07-24</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2026-07-24</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2026-07-24</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2026-07-24</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2026-07-24</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2026-07-24</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2026-07-24</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2026-07-24</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2026-07-24</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2026-07-24</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2026-07-24</x:v>
      </x:c>
    </x:row>
    <x:row r="72" ht="31.5" customHeight="1">
      <x:c r="A72" s="14" t="str">
        <x:v>REGISTER-REFERENCE-32690599750D</x:v>
      </x:c>
      <x:c r="B72" s="14" t="str">
        <x:v>data-api.ecb.europa.eu</x:v>
      </x:c>
      <x:c r="C72" s="14" t="str">
        <x:v>register_reference</x:v>
      </x:c>
      <x:c r="D72" s="14" t="str">
        <x:v>https://data-api.ecb.europa.eu/service/data/EXR/A.USD.EUR.SP00.A?startPeriod=2025&amp;endPeriod=2025&amp;format=csvdata</x:v>
      </x:c>
      <x:c r="E72" s="14" t="str">
        <x:v>2026-07-24</x:v>
      </x:c>
    </x:row>
    <x:row r="73" ht="31.5" customHeight="1">
      <x:c r="A73" s="14" t="str">
        <x:v>REGISTER-REFERENCE-9B93C76EF890</x:v>
      </x:c>
      <x:c r="B73" s="14" t="str">
        <x:v>data.ecb.europa.eu</x:v>
      </x:c>
      <x:c r="C73" s="14" t="str">
        <x:v>register_reference</x:v>
      </x:c>
      <x:c r="D73" s="14" t="str">
        <x:v>https://data.ecb.europa.eu/data/datasets/exr/data-information</x:v>
      </x:c>
      <x:c r="E73" s="14" t="str">
        <x:v>2026-07-24</x:v>
      </x:c>
    </x:row>
    <x:row r="74" ht="31.5" customHeight="1">
      <x:c r="A74" s="14" t="str">
        <x:v>REGISTER-REFERENCE-50ED634F402A</x:v>
      </x:c>
      <x:c r="B74" s="14" t="str">
        <x:v>ecb.europa.eu</x:v>
      </x:c>
      <x:c r="C74" s="14" t="str">
        <x:v>register_reference</x:v>
      </x:c>
      <x:c r="D74" s="14" t="str">
        <x:v>https://www.ecb.europa.eu/stats/policy_and_exchange_rates/euro_reference_exchange_rates/html/index.en.html</x:v>
      </x:c>
      <x:c r="E74" s="14" t="str">
        <x:v>2026-07-24</x:v>
      </x:c>
    </x:row>
    <x:row r="75" ht="31.5" customHeight="1">
      <x:c r="A75" s="14" t="str">
        <x:v>US-FTC-E-CIGARETTE-REPORT-2015-2018</x:v>
      </x:c>
      <x:c r="B75" s="14" t="str">
        <x:v>Federal Trade Commission</x:v>
      </x:c>
      <x:c r="C75" s="14" t="str">
        <x:v>official_report</x:v>
      </x:c>
      <x:c r="D75" s="14" t="str">
        <x:v>https://www.ftc.gov/reports/e-cigarette-report-2015-2018</x:v>
      </x:c>
      <x:c r="E75" s="14" t="str">
        <x:v>2026-07-24</x:v>
      </x:c>
    </x:row>
    <x:row r="76" ht="31.5" customHeight="1">
      <x:c r="A76" s="14" t="str">
        <x:v>US-FTC-E-CIGARETTE-REPORT-2021</x:v>
      </x:c>
      <x:c r="B76" s="14" t="str">
        <x:v>Federal Trade Commission</x:v>
      </x:c>
      <x:c r="C76" s="14" t="str">
        <x:v>official_report</x:v>
      </x:c>
      <x:c r="D76" s="14" t="str">
        <x:v>https://www.ftc.gov/reports/e-cigarette-report-2021</x:v>
      </x:c>
      <x:c r="E76" s="14" t="str">
        <x:v>2026-07-24</x:v>
      </x:c>
    </x:row>
    <x:row r="77" ht="31.5" customHeight="1">
      <x:c r="A77" s="14" t="str">
        <x:v>UN-MEMBER-STATES</x:v>
      </x:c>
      <x:c r="B77" s="14" t="str">
        <x:v>United Nations</x:v>
      </x:c>
      <x:c r="C77" s="14" t="str">
        <x:v>official_reference</x:v>
      </x:c>
      <x:c r="D77" s="14" t="str">
        <x:v>https://www.un.org/en/about-us/member-states</x:v>
      </x:c>
      <x:c r="E77" s="14" t="str">
        <x:v>2026-07-24</x:v>
      </x:c>
    </x:row>
    <x:row r="78" ht="31.5" customHeight="1">
      <x:c r="A78" s="14" t="str">
        <x:v>UN-NON-MEMBER-STATES</x:v>
      </x:c>
      <x:c r="B78" s="14" t="str">
        <x:v>United Nations</x:v>
      </x:c>
      <x:c r="C78" s="14" t="str">
        <x:v>official_reference</x:v>
      </x:c>
      <x:c r="D78" s="14" t="str">
        <x:v>https://www.un.org/en/about-us/non-member-states</x:v>
      </x:c>
      <x:c r="E78" s="14" t="str">
        <x:v>2026-07-24</x:v>
      </x:c>
    </x:row>
    <x:row r="79" ht="31.5" customHeight="1">
      <x:c r="A79" s="15" t="str">
        <x:v>REGISTER-REFERENCE-3332B0031C1D</x:v>
      </x:c>
      <x:c r="B79" s="15" t="str">
        <x:v>www150.statcan.gc.ca</x:v>
      </x:c>
      <x:c r="C79" s="15" t="str">
        <x:v>register_reference</x:v>
      </x:c>
      <x:c r="D79" s="15" t="str">
        <x:v>https://www150.statcan.gc.ca/t1/tbl1/en/tv.action?pid=2010007101</x:v>
      </x:c>
      <x:c r="E79" s="15" t="str">
        <x:v>2026-07-24</x:v>
      </x:c>
    </x:row>
  </x:sheetData>
  <x:pageMargins left="0.7" right="0.7" top="0.75" bottom="0.75" header="0.3" footer="0.3"/>
  <x:tableParts count="1">
    <x:tablePart xmlns:r="http://schemas.openxmlformats.org/officeDocument/2006/relationships" r:id="Rbeb72f7eb4cb42f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0554f810ee9045e0"/>
  </x:tableParts>
</x:worksheet>
</file>