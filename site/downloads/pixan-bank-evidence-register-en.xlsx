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9785c272a094cf6" /></Relationships>
</file>

<file path=xl/workbook.xml><?xml version="1.0" encoding="utf-8"?>
<x:workbook xmlns:x="http://schemas.openxmlformats.org/spreadsheetml/2006/main">
  <x:sheets>
    <x:sheet xmlns:r="http://schemas.openxmlformats.org/officeDocument/2006/relationships" name="Evidence Register" sheetId="1" r:id="R883d5dba6f1e4b77"/>
    <x:sheet xmlns:r="http://schemas.openxmlformats.org/officeDocument/2006/relationships" name="Summary" sheetId="2" r:id="Rd1b5df7b971240f4"/>
    <x:sheet xmlns:r="http://schemas.openxmlformats.org/officeDocument/2006/relationships" name="Reviewer questions" sheetId="3" r:id="Rbf63c9c2e5764158"/>
    <x:sheet xmlns:r="http://schemas.openxmlformats.org/officeDocument/2006/relationships" name="Sources" sheetId="4" r:id="Rf6f42e8c677d401c"/>
    <x:sheet xmlns:r="http://schemas.openxmlformats.org/officeDocument/2006/relationships" name="EUR equivalents" sheetId="5" r:id="R2ca96ce255d9407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18e16db2c244e23" /><Relationship Type="http://schemas.openxmlformats.org/officeDocument/2006/relationships/theme" Target="/xl/theme/theme1.xml" Id="Rce3434141d8b465a" /><Relationship Type="http://schemas.openxmlformats.org/officeDocument/2006/relationships/sharedStrings" Target="/xl/sharedStrings.xml" Id="R2f04fccc06964425" /><Relationship Type="http://schemas.openxmlformats.org/officeDocument/2006/relationships/worksheet" Target="/xl/worksheets/sheet1.xml" Id="R883d5dba6f1e4b77" /><Relationship Type="http://schemas.openxmlformats.org/officeDocument/2006/relationships/worksheet" Target="/xl/worksheets/sheet2.xml" Id="Rd1b5df7b971240f4" /><Relationship Type="http://schemas.openxmlformats.org/officeDocument/2006/relationships/worksheet" Target="/xl/worksheets/sheet3.xml" Id="Rbf63c9c2e5764158" /><Relationship Type="http://schemas.openxmlformats.org/officeDocument/2006/relationships/worksheet" Target="/xl/worksheets/sheet4.xml" Id="Rf6f42e8c677d401c" /><Relationship Type="http://schemas.openxmlformats.org/officeDocument/2006/relationships/worksheet" Target="/xl/worksheets/sheet5.xml" Id="R2ca96ce255d94070" /></Relationships>
</file>

<file path=xl/tables/table1.xml><?xml version="1.0" encoding="utf-8"?>
<x:table xmlns:x="http://schemas.openxmlformats.org/spreadsheetml/2006/main" id="1" name="EvidenceRegisterEN" displayName="EvidenceRegisterEN" ref="A1:I61" headerRowCount="1" totalsRowCount="0" totalsRowShown="0">
  <x:autoFilter ref="A1:I61"/>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106"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8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aee4e38fe974d30" /></Relationships>
</file>

<file path=xl/worksheets/_rels/sheet3.xml.rels>&#65279;<?xml version="1.0" encoding="utf-8"?><Relationships xmlns="http://schemas.openxmlformats.org/package/2006/relationships"><Relationship Type="http://schemas.openxmlformats.org/officeDocument/2006/relationships/table" Target="/xl/tables/table2.xml" Id="Rde06dde2654c433d" /></Relationships>
</file>

<file path=xl/worksheets/_rels/sheet4.xml.rels>&#65279;<?xml version="1.0" encoding="utf-8"?><Relationships xmlns="http://schemas.openxmlformats.org/package/2006/relationships"><Relationship Type="http://schemas.openxmlformats.org/officeDocument/2006/relationships/table" Target="/xl/tables/table3.xml" Id="R4abfaf65ed3d4077" /></Relationships>
</file>

<file path=xl/worksheets/_rels/sheet5.xml.rels>&#65279;<?xml version="1.0" encoding="utf-8"?><Relationships xmlns="http://schemas.openxmlformats.org/package/2006/relationships"><Relationship Type="http://schemas.openxmlformats.org/officeDocument/2006/relationships/table" Target="/xl/tables/table4.xml" Id="R2bcbfbfa50134e04"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but the official response confirms that the requested consumption-release volumes, excise revenue and category statistics are unavailable; no retail market value has been computed.</x:v>
      </x:c>
      <x:c r="B15" s="14" t="str">
        <x:v>Market size / Luxembourg</x:v>
      </x:c>
      <x:c r="C15" s="14" t="str">
        <x:v>The authority supplied no volume or excise-revenue series and does not distinguish the requested product categories. It identified the official registered retail-price list, which is only a price and fiscal-mark reference.</x:v>
      </x:c>
      <x:c r="D15" s="14" t="str">
        <x:v>https://douanes.public.lu/dam-assets/fr/accises/signes-fiscaux/2024/s48/bareme-e-liquide-s48.pdf ; source/FIVE_COUNTRY_METHOD_SPRINT_2026-07-27.md (Luxembourg)</x:v>
      </x:c>
      <x:c r="E15" s="14" t="str">
        <x:v>2026-07-29</x:v>
      </x:c>
      <x:c r="F15" s="14" t="str">
        <x:v>No calculation: the price list is not multiplied by unverified pack counts, and the tax rate is not inverted without net excise receipts.</x:v>
      </x:c>
      <x:c r="G15" s="14" t="str">
        <x:v>A missing authority aggregate is not treated as zero. The price list does not establish sales, volume, release for consumption or consumer demand.</x:v>
      </x:c>
      <x:c r="H15" s="14" t="str">
        <x:v>Confirmed</x:v>
      </x:c>
      <x:c r="I15" s="14" t="str">
        <x:v>Annual taxable millilitres, excise revenue, fiscal-mark pack counts, device units,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174 observations from 54 sources; its 152 official observations split into 116 market measures and 36 Swedish FHM register-structure counts.</x:v>
      </x:c>
      <x:c r="B18" s="14" t="str">
        <x:v>Market size</x:v>
      </x:c>
      <x:c r="C18" s="14" t="str">
        <x:v>The market measures cover Canada, Germany, Spain, Finland, Japan,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2026-08-02</x:v>
      </x:c>
      <x:c r="F18" s="14" t="str">
        <x:v>174 = 138 market and model observations + 36 FHM structure counts; 152 official = 116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https://www.health.govt.nz/system/files/2025-11/notifiable-products-annual-sales-return-2025-user-guide.pdf ; source/NZ_2024_DONOR_CLOSURE_PACK.md ; source/NZ_2024_D8_D10_OFFICIAL_SOURCE_AUDIT.md ; source/NZ_DONOR_FOLLOWUP_PACK_2026-08-07.md ; source/NZ_2024_WORKBOOK_MANIFEST.json ; source/NZ_2024_PRODUCT_SCOPE_AUDIT.json ; scripts/analyze_nz_2024_returns.py</x:v>
      </x:c>
      <x:c r="E22" s="14" t="str">
        <x:v>2026-07-31</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RPS collects product types and quantities but no observed retail value. The GST basis is unknown. Stats NZ's final 2024 HS10 control is a customs-stage sensitivity, not independent retail reconciliation.</x:v>
      </x:c>
      <x:c r="H22" s="14" t="str">
        <x:v>Supported</x:v>
      </x:c>
      <x:c r="I22" s="14" t="str">
        <x:v>D5 fails for missing national channel coverage; D8 GST basis and D10 independent reconciliation remain open. The donor gate remains 0/3.</x:v>
      </x:c>
    </x:row>
    <x:row r="23" ht="58.5" customHeight="1">
      <x:c r="A23" s="14" t="str">
        <x:v>Stats NZ's selected 2024 HS10 control yields NZD 183,370,681 and NZD 197,070,322 net border proxies; neither is retail market value.</x:v>
      </x:c>
      <x:c r="B23" s="14" t="str">
        <x:v>Market size</x:v>
      </x:c>
      <x:c r="C23" s="14" t="str">
        <x:v>Selected imports are NZD 189,640,890 at value for duty and NZD 203,340,531 at CIF. Selected exports are NZD 6,270,209 FOB. The control applies a locked 2024 product-code selection rule.</x:v>
      </x:c>
      <x:c r="D23" s="14" t="str">
        <x:v>https://www.stats.govt.nz/large-datasets/csv-files-for-download/overseas-merchandise-trade-datasets/ ; https://www3.stats.govt.nz/HS10_by_Country/2024_Imports_HS10.zip ; https://www3.stats.govt.nz/HS10_by_Country/2024_Exports_HS10.zip ; source/NZ_CA_DE_DONOR_CONTROL_SPRINT_2026-08-02.md</x:v>
      </x:c>
      <x:c r="E23" s="14" t="str">
        <x:v>2026-08-02</x:v>
      </x:c>
      <x:c r="F23" s="14" t="str">
        <x:v>NZD 189,640,890 − 6,270,209 = 183,370,681; NZD 203,340,531 − 6,270,209 = 197,070,322. Candidate / proxies = 1.495224911 and 1.391282094.</x:v>
      </x:c>
      <x:c r="G23" s="14" t="str">
        <x:v>Border event stage, product scope, domestic production, inventory, re-exports, margins, channels, GST and consumer sell-through do not match the retail boundary.</x:v>
      </x:c>
      <x:c r="H23" s="14" t="str">
        <x:v>Confirmed</x:v>
      </x:c>
      <x:c r="I23" s="14" t="str">
        <x:v>The ratios are not margin, uplift, validation intervals or a market range. D10 remains open and New Zealand remains 7/10 NOT ACCEPTED.</x:v>
      </x:c>
    </x:row>
    <x:row r="24" ht="58.5" customHeight="1">
      <x:c r="A24" s="14" t="str">
        <x:v>Official FTC tables yield USD 2,763,284,338 of reported cartridge-system-plus-disposable sales in 2021.</x:v>
      </x:c>
      <x:c r="B24" s="14" t="str">
        <x:v>Market size</x:v>
      </x:c>
      <x:c r="C24" s="14" t="str">
        <x:v>The seven-year 2015–2021 series sums the cartridge-system and disposable rows annually. The corrected 2020 table covers five prior recipients plus three of four new recipients; 2021 covers all nine recipients.</x:v>
      </x:c>
      <x:c r="D24" s="14" t="str">
        <x:v>https://www.ftc.gov/reports/e-cigarette-report-2015-2018 ; https://www.ftc.gov/reports/e-cigarette-report-2021 ; source/US_FTC_2015_2021_REPORTED_SALES.md</x:v>
      </x:c>
      <x:c r="E24" s="14" t="str">
        <x:v>2021</x:v>
      </x:c>
      <x:c r="F24" s="14" t="str">
        <x:v>Annual sum of FTC-table cartridge systems + disposable e-cigarette sales.</x:v>
      </x:c>
      <x:c r="G24" s="14" t="str">
        <x:v>The reporting population changes, open-system products are excluded, the level is manufacturer reporting and the tax basis is unstated.</x:v>
      </x:c>
      <x:c r="H24" s="14" t="str">
        <x:v>Supported</x:v>
      </x:c>
      <x:c r="I24" s="14" t="str">
        <x:v>Not complete national consumer-retail value or an accepted donor; an open POS or consumer-sales series and tax basis are required.</x:v>
      </x:c>
    </x:row>
    <x:row r="25" ht="58.5" customHeight="1">
      <x:c r="A25" s="14" t="str">
        <x:v>Germany's private DE-BLIND-1.0.0 audit passed the 2023 and 2024 annual caps and the combined cap; vendor values and exact deviations remain withheld.</x:v>
      </x:c>
      <x:c r="B25" s="14" t="str">
        <x:v>Market size / Germany</x:v>
      </x:c>
      <x:c r="C25" s="14" t="str">
        <x:v>The final official anchors and preregistered annual and combined numerical caps were publicly locked before the licensed extract was reviewed privately. All three numerical tests passed.</x:v>
      </x:c>
      <x:c r="D25" s="14" t="str">
        <x:v>https://genesis.destatis.de/datenbank/online/statistic/73411/table/73411-0003/ ; source/NZ_CA_DE_DONOR_CONTROL_SPRINT_2026-08-02.md ; source/GERMANY_VENDOR_AUDIT_BOUNDARY_2026-08-03.md</x:v>
      </x:c>
      <x:c r="E25" s="14" t="str">
        <x:v>2026-08-03</x:v>
      </x:c>
      <x:c r="F25" s="14" t="str">
        <x:v>Annual deviation = |vendor litres / official litres − 1|; combined deviation = |vendor two-year sum / 2,525,000 − 1|.</x:v>
      </x:c>
      <x:c r="G25" s="14" t="str">
        <x:v>A numeric match alone does not establish matching product, tax basis, channel, event stage or source lineage. Thresholds were not tuned to private values.</x:v>
      </x:c>
      <x:c r="H25" s="14" t="str">
        <x:v>Supported</x:v>
      </x:c>
      <x:c r="I25" s="14" t="str">
        <x:v>A public reader cannot reproduce the licensed-vendor comparison. Germany is not a donor, Euromonitor is 1/6 and NOT SCORED, the wider package is HOLD and Germany's retail value remains not_computed.</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2026-08-02</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source/CANADA_RCS_TAX_BASIS_CLARIFICATION_2026-07-29.md ; source/CANADA_RCS_SCOPE_QUALITY_CLARIFICATION_2026-07-30.md ; source/CANADA_2024_D5_D7_D10_OFFICIAL_SOURCE_AUDIT.md</x:v>
      </x:c>
      <x:c r="E28" s="14" t="str">
        <x:v>2026-07-31</x:v>
      </x:c>
      <x:c r="F28" s="14" t="str">
        <x:v>Monthly − quarterly = CAD 1,000 (0.000082%). Retail − shipments = CAD 58,406,203.22; retail / shipments − 1 = 5.031748%. ECB 2024: 1,219,160,000 / 1.482110546875 = EUR 822,583,715.21.</x:v>
      </x:c>
      <x:c r="G28" s="14" t="str">
        <x:v>D8 passes: CAD, exclusion of GST/HST/PST/QST and inclusion of embedded additional duties are confirmed for the reviewed quarterly, monthly and archived tables. Additional duties can include federal, additional and provincial vaping duties. The monthly route is same-survey QA, not D10.</x:v>
      </x:c>
      <x:c r="H28" s="14" t="str">
        <x:v>Supported</x:v>
      </x:c>
      <x:c r="I28" s="14" t="str">
        <x:v>D5 failed because NAICS 459999 specialist retail is outside the confirmed 441100–459993 target range; in-scope online sales do not cover excluded specialist, foreign direct or cross-border channels. D7 failed because exact NAPCS 5619122 response, imputation, CV, standard-error, confidence-interval and covariance metrics are unavailable. D10 remains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broad vaporisation-device-group units and 62,500 derived taxable component sets; neither is e-cigarette-specific.</x:v>
      </x:c>
      <x:c r="B35" s="14" t="str">
        <x:v>Market size</x:v>
      </x:c>
      <x:c r="C35" s="14" t="str">
        <x:v>The official response reports PLN 993.1 million for e-liquids, PLN 175.3 million for the broad device group and PLN 2.5 million for component sets. The statutory group includes refillable e-cigarettes, heated-tobacco heaters and multifunction devices. Duty was PLN 40 per unit from 1 July 2025.</x:v>
      </x:c>
      <x:c r="D35" s="14" t="str">
        <x:v>https://api.sejm.gov.pl/sejm/term10/interpellations/attachment/ATTDVKHSJ/i17526-o1.pdf ; https://www.podatki.gov.pl/akcyza/stawki-podatkowe/ ; https://www.podatki.gov.pl/akcyza/komunikaty-w-zakresie-podatku-akcyzowego ; https://api.sejm.gov.pl/eli/acts/DU/2025/698/text.pdf ; source/POLAND_D1_D10_PREASSESSMENT_2026-07-31.md</x:v>
      </x:c>
      <x:c r="E35" s="14" t="str">
        <x:v>2026-07-31</x:v>
      </x:c>
      <x:c r="F35" s="14" t="str">
        <x:v>PLN 175,300,000 / 40 = 4,382,500 taxable broad-group units; PLN 2,500,000 / 40 = 62,500 taxable component sets.</x:v>
      </x:c>
      <x:c r="G35" s="14" t="str">
        <x:v>The derived tax base covers only devices and component sets taxed from 1 July 2025. AKC-4/R requires device-type detail, but the current public aggregate does not publish it. The values do not establish consumer prices, retail sales or an e-cigarette-only count.</x:v>
      </x:c>
      <x:c r="H35" s="14" t="str">
        <x:v>Confirmed</x:v>
      </x:c>
      <x:c r="I35" s="14" t="str">
        <x:v>The AKC-4/R e-cigarette/heater/multifunction split, monthly duty profile, retail prices, channel coverage and independent reconciliation are required. Poland receives no donor score without a country-year retail value.</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116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5" t="str">
        <x:v>A high-confidence financing package requires a closed data room alongside the public package.</x:v>
      </x:c>
      <x:c r="B61" s="15" t="str">
        <x:v>Next steps</x:v>
      </x:c>
      <x:c r="C61" s="15" t="str">
        <x:v>The public package documents sources and gaps but does not contain confidential financial, contractual or complete title evidence.</x:v>
      </x:c>
      <x:c r="D61" s="15" t="str">
        <x:v>Public package scope</x:v>
      </x:c>
      <x:c r="E61" s="15" t="str">
        <x:v>2026-07-24</x:v>
      </x:c>
      <x:c r="F61" s="15" t="str">
        <x:v>Recommendation based on the due-diligence architecture required by the identified gaps.</x:v>
      </x:c>
      <x:c r="G61" s="15" t="str">
        <x:v>Access would be restricted and logged.</x:v>
      </x:c>
      <x:c r="H61" s="15" t="str">
        <x:v>Supported</x:v>
      </x:c>
      <x:c r="I61" s="15" t="str">
        <x:v>Create an indexed data room with Corporate, IP, Legal, Commercial, Finance, Valuation and Security sections.</x:v>
      </x:c>
    </x:row>
  </x:sheetData>
  <x:conditionalFormatting sqref="H2:H61">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1">
      <x:formula1>"Confirmed,Supported,Assumption,Missing"</x:formula1>
    </x:dataValidation>
  </x:dataValidations>
  <x:pageMargins left="0.7" right="0.7" top="0.75" bottom="0.75" header="0.3" footer="0.3"/>
  <x:tableParts count="1">
    <x:tablePart xmlns:r="http://schemas.openxmlformats.org/officeDocument/2006/relationships" r:id="R1aee4e38fe974d3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2026.08.03-43</x:v>
      </x:c>
    </x:row>
    <x:row r="6" ht="20.25" customHeight="1">
      <x:c r="A6" s="29" t="str">
        <x:v>Updated</x:v>
      </x:c>
      <x:c r="B6" s="14" t="str">
        <x:v>2026-08-03</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Register'!$A$2:$A$61)</x:f>
        <x:v>60</x:v>
      </x:c>
    </x:row>
    <x:row r="9" ht="20.25" customHeight="1"/>
    <x:row r="10" ht="20.25" customHeight="1">
      <x:c r="A10" s="31" t="str">
        <x:v>Evidence distribution</x:v>
      </x:c>
      <x:c r="B10" s="31"/>
    </x:row>
    <x:row r="11" ht="20.25" customHeight="1">
      <x:c r="A11" s="36" t="str">
        <x:v>Confirmed</x:v>
      </x:c>
      <x:c r="B11" s="13" t="n">
        <x:f>COUNTIF('Evidence Register'!$H$2:$H$61,A11)</x:f>
        <x:v>35</x:v>
      </x:c>
    </x:row>
    <x:row r="12" ht="20.25" customHeight="1">
      <x:c r="A12" s="37" t="str">
        <x:v>Supported</x:v>
      </x:c>
      <x:c r="B12" s="14" t="n">
        <x:f>COUNTIF('Evidence Register'!$H$2:$H$61,A12)</x:f>
        <x:v>12</x:v>
      </x:c>
    </x:row>
    <x:row r="13" ht="20.25" customHeight="1">
      <x:c r="A13" s="38" t="str">
        <x:v>Assumption</x:v>
      </x:c>
      <x:c r="B13" s="14" t="n">
        <x:f>COUNTIF('Evidence Register'!$H$2:$H$61,A13)</x:f>
        <x:v>3</x:v>
      </x:c>
    </x:row>
    <x:row r="14" ht="20.25" customHeight="1">
      <x:c r="A14" s="39" t="str">
        <x:v>Missing</x:v>
      </x:c>
      <x:c r="B14" s="15" t="n">
        <x:f>COUNTIF('Evidence Register'!$H$2:$H$61,A14)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de06dde2654c433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REGISTER-REFERENCE-067A847A44A9</x:v>
      </x:c>
      <x:c r="B53" s="14" t="str">
        <x:v>api.sejm.gov.pl</x:v>
      </x:c>
      <x:c r="C53" s="14" t="str">
        <x:v>register_reference</x:v>
      </x:c>
      <x:c r="D53" s="14" t="str">
        <x:v>https://api.sejm.gov.pl/eli/acts/DU/2025/698/text.pdf</x:v>
      </x:c>
      <x:c r="E53" s="14" t="str">
        <x:v>2026-08-03</x:v>
      </x:c>
    </x:row>
    <x:row r="54" ht="31.5" customHeight="1">
      <x:c r="A54" s="14" t="str">
        <x:v>REGISTER-REFERENCE-BC2CDD0708D5</x:v>
      </x:c>
      <x:c r="B54" s="14" t="str">
        <x:v>data-api.ecb.europa.eu</x:v>
      </x:c>
      <x:c r="C54" s="14" t="str">
        <x:v>register_reference</x:v>
      </x:c>
      <x:c r="D54" s="14" t="str">
        <x:v>https://data-api.ecb.europa.eu/service/data/EXR/A.CAD.EUR.SP00.A?startPeriod=2019&amp;endPeriod=2019&amp;format=csvdata</x:v>
      </x:c>
      <x:c r="E54" s="14" t="str">
        <x:v>2026-08-03</x:v>
      </x:c>
    </x:row>
    <x:row r="55" ht="31.5" customHeight="1">
      <x:c r="A55" s="14" t="str">
        <x:v>REGISTER-REFERENCE-7264539499F0</x:v>
      </x:c>
      <x:c r="B55" s="14" t="str">
        <x:v>data-api.ecb.europa.eu</x:v>
      </x:c>
      <x:c r="C55" s="14" t="str">
        <x:v>register_reference</x:v>
      </x:c>
      <x:c r="D55" s="14" t="str">
        <x:v>https://data-api.ecb.europa.eu/service/data/EXR/A.CAD.EUR.SP00.A?startPeriod=2020&amp;endPeriod=2020&amp;format=csvdata</x:v>
      </x:c>
      <x:c r="E55" s="14" t="str">
        <x:v>2026-08-03</x:v>
      </x:c>
    </x:row>
    <x:row r="56" ht="31.5" customHeight="1">
      <x:c r="A56" s="14" t="str">
        <x:v>REGISTER-REFERENCE-2580DD0733C9</x:v>
      </x:c>
      <x:c r="B56" s="14" t="str">
        <x:v>data-api.ecb.europa.eu</x:v>
      </x:c>
      <x:c r="C56" s="14" t="str">
        <x:v>register_reference</x:v>
      </x:c>
      <x:c r="D56" s="14" t="str">
        <x:v>https://data-api.ecb.europa.eu/service/data/EXR/A.CAD.EUR.SP00.A?startPeriod=2021&amp;endPeriod=2021&amp;format=csvdata</x:v>
      </x:c>
      <x:c r="E56" s="14" t="str">
        <x:v>2026-08-03</x:v>
      </x:c>
    </x:row>
    <x:row r="57" ht="31.5" customHeight="1">
      <x:c r="A57" s="14" t="str">
        <x:v>REGISTER-REFERENCE-38DD93023815</x:v>
      </x:c>
      <x:c r="B57" s="14" t="str">
        <x:v>data-api.ecb.europa.eu</x:v>
      </x:c>
      <x:c r="C57" s="14" t="str">
        <x:v>register_reference</x:v>
      </x:c>
      <x:c r="D57" s="14" t="str">
        <x:v>https://data-api.ecb.europa.eu/service/data/EXR/A.CAD.EUR.SP00.A?startPeriod=2022&amp;endPeriod=2022&amp;format=csvdata</x:v>
      </x:c>
      <x:c r="E57" s="14" t="str">
        <x:v>2026-08-03</x:v>
      </x:c>
    </x:row>
    <x:row r="58" ht="31.5" customHeight="1">
      <x:c r="A58" s="14" t="str">
        <x:v>REGISTER-REFERENCE-72D82058EA8A</x:v>
      </x:c>
      <x:c r="B58" s="14" t="str">
        <x:v>data-api.ecb.europa.eu</x:v>
      </x:c>
      <x:c r="C58" s="14" t="str">
        <x:v>register_reference</x:v>
      </x:c>
      <x:c r="D58" s="14" t="str">
        <x:v>https://data-api.ecb.europa.eu/service/data/EXR/A.CAD.EUR.SP00.A?startPeriod=2023&amp;endPeriod=2023&amp;format=csvdata</x:v>
      </x:c>
      <x:c r="E58" s="14" t="str">
        <x:v>2026-08-03</x:v>
      </x:c>
    </x:row>
    <x:row r="59" ht="31.5" customHeight="1">
      <x:c r="A59" s="14" t="str">
        <x:v>REGISTER-REFERENCE-E8408060156E</x:v>
      </x:c>
      <x:c r="B59" s="14" t="str">
        <x:v>data-api.ecb.europa.eu</x:v>
      </x:c>
      <x:c r="C59" s="14" t="str">
        <x:v>register_reference</x:v>
      </x:c>
      <x:c r="D59" s="14" t="str">
        <x:v>https://data-api.ecb.europa.eu/service/data/EXR/A.CAD.EUR.SP00.A?startPeriod=2024&amp;endPeriod=2024&amp;format=csvdata</x:v>
      </x:c>
      <x:c r="E59" s="14" t="str">
        <x:v>2026-08-03</x:v>
      </x:c>
    </x:row>
    <x:row r="60" ht="31.5" customHeight="1">
      <x:c r="A60" s="14" t="str">
        <x:v>REGISTER-REFERENCE-ACB549D404B8</x:v>
      </x:c>
      <x:c r="B60" s="14" t="str">
        <x:v>data-api.ecb.europa.eu</x:v>
      </x:c>
      <x:c r="C60" s="14" t="str">
        <x:v>register_reference</x:v>
      </x:c>
      <x:c r="D60" s="14" t="str">
        <x:v>https://data-api.ecb.europa.eu/service/data/EXR/A.CAD.EUR.SP00.A?startPeriod=2025&amp;endPeriod=2025&amp;format=csvdata</x:v>
      </x:c>
      <x:c r="E60" s="14" t="str">
        <x:v>2026-08-03</x:v>
      </x:c>
    </x:row>
    <x:row r="61" ht="31.5" customHeight="1">
      <x:c r="A61" s="14" t="str">
        <x:v>REGISTER-REFERENCE-D5953C312D13</x:v>
      </x:c>
      <x:c r="B61" s="14" t="str">
        <x:v>data-api.ecb.europa.eu</x:v>
      </x:c>
      <x:c r="C61" s="14" t="str">
        <x:v>register_reference</x:v>
      </x:c>
      <x:c r="D61" s="14" t="str">
        <x:v>https://data-api.ecb.europa.eu/service/data/EXR/A.JPY.EUR.SP00.A?startPeriod=2022&amp;endPeriod=2022&amp;format=csvdata</x:v>
      </x:c>
      <x:c r="E61" s="14" t="str">
        <x:v>2026-08-03</x:v>
      </x:c>
    </x:row>
    <x:row r="62" ht="31.5" customHeight="1">
      <x:c r="A62" s="14" t="str">
        <x:v>REGISTER-REFERENCE-9C49B54585D6</x:v>
      </x:c>
      <x:c r="B62" s="14" t="str">
        <x:v>data-api.ecb.europa.eu</x:v>
      </x:c>
      <x:c r="C62" s="14" t="str">
        <x:v>register_reference</x:v>
      </x:c>
      <x:c r="D62" s="14" t="str">
        <x:v>https://data-api.ecb.europa.eu/service/data/EXR/A.JPY.EUR.SP00.A?startPeriod=2023&amp;endPeriod=2023&amp;format=csvdata</x:v>
      </x:c>
      <x:c r="E62" s="14" t="str">
        <x:v>2026-08-03</x:v>
      </x:c>
    </x:row>
    <x:row r="63" ht="31.5" customHeight="1">
      <x:c r="A63" s="14" t="str">
        <x:v>REGISTER-REFERENCE-E8955C1A58F7</x:v>
      </x:c>
      <x:c r="B63" s="14" t="str">
        <x:v>data-api.ecb.europa.eu</x:v>
      </x:c>
      <x:c r="C63" s="14" t="str">
        <x:v>register_reference</x:v>
      </x:c>
      <x:c r="D63" s="14" t="str">
        <x:v>https://data-api.ecb.europa.eu/service/data/EXR/A.JPY.EUR.SP00.A?startPeriod=2024&amp;endPeriod=2024&amp;format=csvdata</x:v>
      </x:c>
      <x:c r="E63" s="14" t="str">
        <x:v>2026-08-03</x:v>
      </x:c>
    </x:row>
    <x:row r="64" ht="31.5" customHeight="1">
      <x:c r="A64" s="14" t="str">
        <x:v>REGISTER-REFERENCE-AB39FAE18104</x:v>
      </x:c>
      <x:c r="B64" s="14" t="str">
        <x:v>data-api.ecb.europa.eu</x:v>
      </x:c>
      <x:c r="C64" s="14" t="str">
        <x:v>register_reference</x:v>
      </x:c>
      <x:c r="D64" s="14" t="str">
        <x:v>https://data-api.ecb.europa.eu/service/data/EXR/A.JPY.EUR.SP00.A?startPeriod=2025&amp;endPeriod=2025&amp;format=csvdata</x:v>
      </x:c>
      <x:c r="E64" s="14" t="str">
        <x:v>2026-08-03</x:v>
      </x:c>
    </x:row>
    <x:row r="65" ht="31.5" customHeight="1">
      <x:c r="A65" s="14" t="str">
        <x:v>REGISTER-REFERENCE-2FB6E2117AD7</x:v>
      </x:c>
      <x:c r="B65" s="14" t="str">
        <x:v>data-api.ecb.europa.eu</x:v>
      </x:c>
      <x:c r="C65" s="14" t="str">
        <x:v>register_reference</x:v>
      </x:c>
      <x:c r="D65" s="14" t="str">
        <x:v>https://data-api.ecb.europa.eu/service/data/EXR/A.NZD.EUR.SP00.A?startPeriod=2022&amp;endPeriod=2022&amp;format=csvdata</x:v>
      </x:c>
      <x:c r="E65" s="14" t="str">
        <x:v>2026-08-03</x:v>
      </x:c>
    </x:row>
    <x:row r="66" ht="31.5" customHeight="1">
      <x:c r="A66" s="14" t="str">
        <x:v>REGISTER-REFERENCE-8FEBAD85B03E</x:v>
      </x:c>
      <x:c r="B66" s="14" t="str">
        <x:v>data-api.ecb.europa.eu</x:v>
      </x:c>
      <x:c r="C66" s="14" t="str">
        <x:v>register_reference</x:v>
      </x:c>
      <x:c r="D66" s="14" t="str">
        <x:v>https://data-api.ecb.europa.eu/service/data/EXR/A.NZD.EUR.SP00.A?startPeriod=2023&amp;endPeriod=2023&amp;format=csvdata</x:v>
      </x:c>
      <x:c r="E66" s="14" t="str">
        <x:v>2026-08-03</x:v>
      </x:c>
    </x:row>
    <x:row r="67" ht="31.5" customHeight="1">
      <x:c r="A67" s="14" t="str">
        <x:v>REGISTER-REFERENCE-37CBB91A050A</x:v>
      </x:c>
      <x:c r="B67" s="14" t="str">
        <x:v>data-api.ecb.europa.eu</x:v>
      </x:c>
      <x:c r="C67" s="14" t="str">
        <x:v>register_reference</x:v>
      </x:c>
      <x:c r="D67" s="14" t="str">
        <x:v>https://data-api.ecb.europa.eu/service/data/EXR/A.NZD.EUR.SP00.A?startPeriod=2024&amp;endPeriod=2024&amp;format=csvdata</x:v>
      </x:c>
      <x:c r="E67" s="14" t="str">
        <x:v>2026-08-03</x:v>
      </x:c>
    </x:row>
    <x:row r="68" ht="31.5" customHeight="1">
      <x:c r="A68" s="14" t="str">
        <x:v>REGISTER-REFERENCE-BCE59F2D3F9D</x:v>
      </x:c>
      <x:c r="B68" s="14" t="str">
        <x:v>data-api.ecb.europa.eu</x:v>
      </x:c>
      <x:c r="C68" s="14" t="str">
        <x:v>register_reference</x:v>
      </x:c>
      <x:c r="D68" s="14" t="str">
        <x:v>https://data-api.ecb.europa.eu/service/data/EXR/A.PLN.EUR.SP00.A?startPeriod=2015&amp;endPeriod=2015&amp;format=csvdata</x:v>
      </x:c>
      <x:c r="E68" s="14" t="str">
        <x:v>2026-08-03</x:v>
      </x:c>
    </x:row>
    <x:row r="69" ht="31.5" customHeight="1">
      <x:c r="A69" s="14" t="str">
        <x:v>REGISTER-REFERENCE-2267B190A073</x:v>
      </x:c>
      <x:c r="B69" s="14" t="str">
        <x:v>data-api.ecb.europa.eu</x:v>
      </x:c>
      <x:c r="C69" s="14" t="str">
        <x:v>register_reference</x:v>
      </x:c>
      <x:c r="D69" s="14" t="str">
        <x:v>https://data-api.ecb.europa.eu/service/data/EXR/A.PLN.EUR.SP00.A?startPeriod=2021&amp;endPeriod=2021&amp;format=csvdata</x:v>
      </x:c>
      <x:c r="E69" s="14" t="str">
        <x:v>2026-08-03</x:v>
      </x:c>
    </x:row>
    <x:row r="70" ht="31.5" customHeight="1">
      <x:c r="A70" s="14" t="str">
        <x:v>REGISTER-REFERENCE-957871D9CB33</x:v>
      </x:c>
      <x:c r="B70" s="14" t="str">
        <x:v>data-api.ecb.europa.eu</x:v>
      </x:c>
      <x:c r="C70" s="14" t="str">
        <x:v>register_reference</x:v>
      </x:c>
      <x:c r="D70" s="14" t="str">
        <x:v>https://data-api.ecb.europa.eu/service/data/EXR/A.PLN.EUR.SP00.A?startPeriod=2022&amp;endPeriod=2022&amp;format=csvdata</x:v>
      </x:c>
      <x:c r="E70" s="14" t="str">
        <x:v>2026-08-03</x:v>
      </x:c>
    </x:row>
    <x:row r="71" ht="31.5" customHeight="1">
      <x:c r="A71" s="14" t="str">
        <x:v>REGISTER-REFERENCE-5C7194247112</x:v>
      </x:c>
      <x:c r="B71" s="14" t="str">
        <x:v>data-api.ecb.europa.eu</x:v>
      </x:c>
      <x:c r="C71" s="14" t="str">
        <x:v>register_reference</x:v>
      </x:c>
      <x:c r="D71" s="14" t="str">
        <x:v>https://data-api.ecb.europa.eu/service/data/EXR/A.PLN.EUR.SP00.A?startPeriod=2023&amp;endPeriod=2023&amp;format=csvdata</x:v>
      </x:c>
      <x:c r="E71" s="14" t="str">
        <x:v>2026-08-03</x:v>
      </x:c>
    </x:row>
    <x:row r="72" ht="31.5" customHeight="1">
      <x:c r="A72" s="14" t="str">
        <x:v>REGISTER-REFERENCE-75BF634166B2</x:v>
      </x:c>
      <x:c r="B72" s="14" t="str">
        <x:v>data-api.ecb.europa.eu</x:v>
      </x:c>
      <x:c r="C72" s="14" t="str">
        <x:v>register_reference</x:v>
      </x:c>
      <x:c r="D72" s="14" t="str">
        <x:v>https://data-api.ecb.europa.eu/service/data/EXR/A.PLN.EUR.SP00.A?startPeriod=2024&amp;endPeriod=2024&amp;format=csvdata</x:v>
      </x:c>
      <x:c r="E72" s="14" t="str">
        <x:v>2026-08-03</x:v>
      </x:c>
    </x:row>
    <x:row r="73" ht="31.5" customHeight="1">
      <x:c r="A73" s="14" t="str">
        <x:v>REGISTER-REFERENCE-54AB30A87D3D</x:v>
      </x:c>
      <x:c r="B73" s="14" t="str">
        <x:v>data-api.ecb.europa.eu</x:v>
      </x:c>
      <x:c r="C73" s="14" t="str">
        <x:v>register_reference</x:v>
      </x:c>
      <x:c r="D73" s="14" t="str">
        <x:v>https://data-api.ecb.europa.eu/service/data/EXR/A.PLN.EUR.SP00.A?startPeriod=2025&amp;endPeriod=2025&amp;format=csvdata</x:v>
      </x:c>
      <x:c r="E73" s="14" t="str">
        <x:v>2026-08-03</x:v>
      </x:c>
    </x:row>
    <x:row r="74" ht="31.5" customHeight="1">
      <x:c r="A74" s="14" t="str">
        <x:v>REGISTER-REFERENCE-4B9D48C385C9</x:v>
      </x:c>
      <x:c r="B74" s="14" t="str">
        <x:v>data-api.ecb.europa.eu</x:v>
      </x:c>
      <x:c r="C74" s="14" t="str">
        <x:v>register_reference</x:v>
      </x:c>
      <x:c r="D74" s="14" t="str">
        <x:v>https://data-api.ecb.europa.eu/service/data/EXR/A.SEK.EUR.SP00.A?startPeriod=2024&amp;endPeriod=2024&amp;format=csvdata</x:v>
      </x:c>
      <x:c r="E74" s="14" t="str">
        <x:v>2026-08-03</x:v>
      </x:c>
    </x:row>
    <x:row r="75" ht="31.5" customHeight="1">
      <x:c r="A75" s="14" t="str">
        <x:v>REGISTER-REFERENCE-97704C5CE7D4</x:v>
      </x:c>
      <x:c r="B75" s="14" t="str">
        <x:v>data-api.ecb.europa.eu</x:v>
      </x:c>
      <x:c r="C75" s="14" t="str">
        <x:v>register_reference</x:v>
      </x:c>
      <x:c r="D75" s="14" t="str">
        <x:v>https://data-api.ecb.europa.eu/service/data/EXR/A.USD.EUR.SP00.A?startPeriod=2015&amp;endPeriod=2015&amp;format=csvdata</x:v>
      </x:c>
      <x:c r="E75" s="14" t="str">
        <x:v>2026-08-03</x:v>
      </x:c>
    </x:row>
    <x:row r="76" ht="31.5" customHeight="1">
      <x:c r="A76" s="14" t="str">
        <x:v>REGISTER-REFERENCE-EF5511CEAE3C</x:v>
      </x:c>
      <x:c r="B76" s="14" t="str">
        <x:v>data-api.ecb.europa.eu</x:v>
      </x:c>
      <x:c r="C76" s="14" t="str">
        <x:v>register_reference</x:v>
      </x:c>
      <x:c r="D76" s="14" t="str">
        <x:v>https://data-api.ecb.europa.eu/service/data/EXR/A.USD.EUR.SP00.A?startPeriod=2016&amp;endPeriod=2016&amp;format=csvdata</x:v>
      </x:c>
      <x:c r="E76" s="14" t="str">
        <x:v>2026-08-03</x:v>
      </x:c>
    </x:row>
    <x:row r="77" ht="31.5" customHeight="1">
      <x:c r="A77" s="14" t="str">
        <x:v>REGISTER-REFERENCE-15452EF50F15</x:v>
      </x:c>
      <x:c r="B77" s="14" t="str">
        <x:v>data-api.ecb.europa.eu</x:v>
      </x:c>
      <x:c r="C77" s="14" t="str">
        <x:v>register_reference</x:v>
      </x:c>
      <x:c r="D77" s="14" t="str">
        <x:v>https://data-api.ecb.europa.eu/service/data/EXR/A.USD.EUR.SP00.A?startPeriod=2017&amp;endPeriod=2017&amp;format=csvdata</x:v>
      </x:c>
      <x:c r="E77" s="14" t="str">
        <x:v>2026-08-03</x:v>
      </x:c>
    </x:row>
    <x:row r="78" ht="31.5" customHeight="1">
      <x:c r="A78" s="14" t="str">
        <x:v>REGISTER-REFERENCE-9C7C0F0FD33F</x:v>
      </x:c>
      <x:c r="B78" s="14" t="str">
        <x:v>data-api.ecb.europa.eu</x:v>
      </x:c>
      <x:c r="C78" s="14" t="str">
        <x:v>register_reference</x:v>
      </x:c>
      <x:c r="D78" s="14" t="str">
        <x:v>https://data-api.ecb.europa.eu/service/data/EXR/A.USD.EUR.SP00.A?startPeriod=2018&amp;endPeriod=2018&amp;format=csvdata</x:v>
      </x:c>
      <x:c r="E78" s="14" t="str">
        <x:v>2026-08-03</x:v>
      </x:c>
    </x:row>
    <x:row r="79" ht="31.5" customHeight="1">
      <x:c r="A79" s="14" t="str">
        <x:v>REGISTER-REFERENCE-82A9C0A0E9C4</x:v>
      </x:c>
      <x:c r="B79" s="14" t="str">
        <x:v>data-api.ecb.europa.eu</x:v>
      </x:c>
      <x:c r="C79" s="14" t="str">
        <x:v>register_reference</x:v>
      </x:c>
      <x:c r="D79" s="14" t="str">
        <x:v>https://data-api.ecb.europa.eu/service/data/EXR/A.USD.EUR.SP00.A?startPeriod=2019&amp;endPeriod=2019&amp;format=csvdata</x:v>
      </x:c>
      <x:c r="E79" s="14" t="str">
        <x:v>2026-08-03</x:v>
      </x:c>
    </x:row>
    <x:row r="80" ht="31.5" customHeight="1">
      <x:c r="A80" s="14" t="str">
        <x:v>REGISTER-REFERENCE-25E2E410922F</x:v>
      </x:c>
      <x:c r="B80" s="14" t="str">
        <x:v>data-api.ecb.europa.eu</x:v>
      </x:c>
      <x:c r="C80" s="14" t="str">
        <x:v>register_reference</x:v>
      </x:c>
      <x:c r="D80" s="14" t="str">
        <x:v>https://data-api.ecb.europa.eu/service/data/EXR/A.USD.EUR.SP00.A?startPeriod=2020&amp;endPeriod=2020&amp;format=csvdata</x:v>
      </x:c>
      <x:c r="E80" s="14" t="str">
        <x:v>2026-08-03</x:v>
      </x:c>
    </x:row>
    <x:row r="81" ht="31.5" customHeight="1">
      <x:c r="A81" s="14" t="str">
        <x:v>REGISTER-REFERENCE-74211110370B</x:v>
      </x:c>
      <x:c r="B81" s="14" t="str">
        <x:v>data-api.ecb.europa.eu</x:v>
      </x:c>
      <x:c r="C81" s="14" t="str">
        <x:v>register_reference</x:v>
      </x:c>
      <x:c r="D81" s="14" t="str">
        <x:v>https://data-api.ecb.europa.eu/service/data/EXR/A.USD.EUR.SP00.A?startPeriod=2021&amp;endPeriod=2021&amp;format=csvdata</x:v>
      </x:c>
      <x:c r="E81" s="14" t="str">
        <x:v>2026-08-03</x:v>
      </x:c>
    </x:row>
    <x:row r="82" ht="31.5" customHeight="1">
      <x:c r="A82" s="14" t="str">
        <x:v>REGISTER-REFERENCE-59446D8EB279</x:v>
      </x:c>
      <x:c r="B82" s="14" t="str">
        <x:v>data-api.ecb.europa.eu</x:v>
      </x:c>
      <x:c r="C82" s="14" t="str">
        <x:v>register_reference</x:v>
      </x:c>
      <x:c r="D82" s="14" t="str">
        <x:v>https://data-api.ecb.europa.eu/service/data/EXR/A.USD.EUR.SP00.A?startPeriod=2022&amp;endPeriod=2022&amp;format=csvdata</x:v>
      </x:c>
      <x:c r="E82" s="14" t="str">
        <x:v>2026-08-03</x:v>
      </x:c>
    </x:row>
    <x:row r="83" ht="31.5" customHeight="1">
      <x:c r="A83" s="14" t="str">
        <x:v>REGISTER-REFERENCE-BFB2E2E1B4A3</x:v>
      </x:c>
      <x:c r="B83" s="14" t="str">
        <x:v>data-api.ecb.europa.eu</x:v>
      </x:c>
      <x:c r="C83" s="14" t="str">
        <x:v>register_reference</x:v>
      </x:c>
      <x:c r="D83" s="14" t="str">
        <x:v>https://data-api.ecb.europa.eu/service/data/EXR/A.USD.EUR.SP00.A?startPeriod=2023&amp;endPeriod=2023&amp;format=csvdata</x:v>
      </x:c>
      <x:c r="E83" s="14" t="str">
        <x:v>2026-08-03</x:v>
      </x:c>
    </x:row>
    <x:row r="84" ht="31.5" customHeight="1">
      <x:c r="A84" s="14" t="str">
        <x:v>REGISTER-REFERENCE-D26C27B033B0</x:v>
      </x:c>
      <x:c r="B84" s="14" t="str">
        <x:v>data-api.ecb.europa.eu</x:v>
      </x:c>
      <x:c r="C84" s="14" t="str">
        <x:v>register_reference</x:v>
      </x:c>
      <x:c r="D84" s="14" t="str">
        <x:v>https://data-api.ecb.europa.eu/service/data/EXR/A.USD.EUR.SP00.A?startPeriod=2024&amp;endPeriod=2024&amp;format=csvdata</x:v>
      </x:c>
      <x:c r="E84" s="14" t="str">
        <x:v>2026-08-03</x:v>
      </x:c>
    </x:row>
    <x:row r="85" ht="31.5" customHeight="1">
      <x:c r="A85" s="14" t="str">
        <x:v>REGISTER-REFERENCE-32690599750D</x:v>
      </x:c>
      <x:c r="B85" s="14" t="str">
        <x:v>data-api.ecb.europa.eu</x:v>
      </x:c>
      <x:c r="C85" s="14" t="str">
        <x:v>register_reference</x:v>
      </x:c>
      <x:c r="D85" s="14" t="str">
        <x:v>https://data-api.ecb.europa.eu/service/data/EXR/A.USD.EUR.SP00.A?startPeriod=2025&amp;endPeriod=2025&amp;format=csvdata</x:v>
      </x:c>
      <x:c r="E85" s="14" t="str">
        <x:v>2026-08-03</x:v>
      </x:c>
    </x:row>
    <x:row r="86" ht="31.5" customHeight="1">
      <x:c r="A86" s="14" t="str">
        <x:v>REGISTER-REFERENCE-9B93C76EF890</x:v>
      </x:c>
      <x:c r="B86" s="14" t="str">
        <x:v>data.ecb.europa.eu</x:v>
      </x:c>
      <x:c r="C86" s="14" t="str">
        <x:v>register_reference</x:v>
      </x:c>
      <x:c r="D86" s="14" t="str">
        <x:v>https://data.ecb.europa.eu/data/datasets/exr/data-information</x:v>
      </x:c>
      <x:c r="E86" s="14" t="str">
        <x:v>2026-08-03</x:v>
      </x:c>
    </x:row>
    <x:row r="87" ht="31.5" customHeight="1">
      <x:c r="A87" s="14" t="str">
        <x:v>REGISTER-REFERENCE-2DA87527D51F</x:v>
      </x:c>
      <x:c r="B87" s="14" t="str">
        <x:v>datahelpdesk.worldbank.org</x:v>
      </x:c>
      <x:c r="C87" s="14" t="str">
        <x:v>register_reference</x:v>
      </x:c>
      <x:c r="D87" s="14" t="str">
        <x:v>https://datahelpdesk.worldbank.org/knowledgebase/articles/898581-api-basic-call-structures</x:v>
      </x:c>
      <x:c r="E87" s="14" t="str">
        <x:v>2026-08-03</x:v>
      </x:c>
    </x:row>
    <x:row r="88" ht="31.5" customHeight="1">
      <x:c r="A88" s="14" t="str">
        <x:v>REGISTER-REFERENCE-1208D3C8F46C</x:v>
      </x:c>
      <x:c r="B88" s="14" t="str">
        <x:v>douanes.public.lu</x:v>
      </x:c>
      <x:c r="C88" s="14" t="str">
        <x:v>register_reference</x:v>
      </x:c>
      <x:c r="D88" s="14" t="str">
        <x:v>https://douanes.public.lu/dam-assets/fr/accises/signes-fiscaux/2024/s48/bareme-e-liquide-s48.pdf</x:v>
      </x:c>
      <x:c r="E88" s="14" t="str">
        <x:v>2026-08-03</x:v>
      </x:c>
    </x:row>
    <x:row r="89" ht="31.5" customHeight="1">
      <x:c r="A89" s="14" t="str">
        <x:v>REGISTER-REFERENCE-25E8C2FC0150</x:v>
      </x:c>
      <x:c r="B89" s="14" t="str">
        <x:v>genesis.destatis.de</x:v>
      </x:c>
      <x:c r="C89" s="14" t="str">
        <x:v>register_reference</x:v>
      </x:c>
      <x:c r="D89" s="14" t="str">
        <x:v>https://genesis.destatis.de/datenbank/online/statistic/73411/table/73411-0003/</x:v>
      </x:c>
      <x:c r="E89" s="14" t="str">
        <x:v>2026-08-03</x:v>
      </x:c>
    </x:row>
    <x:row r="90" ht="31.5" customHeight="1">
      <x:c r="A90" s="14" t="str">
        <x:v>REGISTER-REFERENCE-77110A089CB9</x:v>
      </x:c>
      <x:c r="B90" s="14" t="str">
        <x:v>laws-lois.justice.gc.ca</x:v>
      </x:c>
      <x:c r="C90" s="14" t="str">
        <x:v>register_reference</x:v>
      </x:c>
      <x:c r="D90" s="14" t="str">
        <x:v>https://laws-lois.justice.gc.ca/eng/regulations/SOR-2023-123/FullText.html</x:v>
      </x:c>
      <x:c r="E90" s="14" t="str">
        <x:v>2026-08-03</x:v>
      </x:c>
    </x:row>
    <x:row r="91" ht="31.5" customHeight="1">
      <x:c r="A91" s="14" t="str">
        <x:v>REGISTER-REFERENCE-A3B80D981A8D</x:v>
      </x:c>
      <x:c r="B91" s="14" t="str">
        <x:v>adm.gov.it</x:v>
      </x:c>
      <x:c r="C91" s="14" t="str">
        <x:v>register_reference</x:v>
      </x:c>
      <x:c r="D91" s="14" t="str">
        <x:v>https://www.adm.gov.it/portale/documents/20182/261920520/Libro+blu+2024+-+Relazione.pdf/e46989ce-b39f-a404-3b4b-2af3196cba43</x:v>
      </x:c>
      <x:c r="E91" s="14" t="str">
        <x:v>2026-08-03</x:v>
      </x:c>
    </x:row>
    <x:row r="92" ht="31.5" customHeight="1">
      <x:c r="A92" s="14" t="str">
        <x:v>REGISTER-REFERENCE-50ED634F402A</x:v>
      </x:c>
      <x:c r="B92" s="14" t="str">
        <x:v>ecb.europa.eu</x:v>
      </x:c>
      <x:c r="C92" s="14" t="str">
        <x:v>register_reference</x:v>
      </x:c>
      <x:c r="D92" s="14" t="str">
        <x:v>https://www.ecb.europa.eu/stats/policy_and_exchange_rates/euro_reference_exchange_rates/html/index.en.html</x:v>
      </x:c>
      <x:c r="E92" s="14" t="str">
        <x:v>2026-08-03</x:v>
      </x:c>
    </x:row>
    <x:row r="93" ht="31.5" customHeight="1">
      <x:c r="A93" s="14" t="str">
        <x:v>SE-FHM-PUBLIC-RECORD-RESPONSE-2026-07-24</x:v>
      </x:c>
      <x:c r="B93" s="14" t="str">
        <x:v>Public Health Agency of Sweden</x:v>
      </x:c>
      <x:c r="C93" s="14" t="str">
        <x:v>official_reference</x:v>
      </x:c>
      <x:c r="D93" s="14" t="str">
        <x:v>https://www.folkhalsomyndigheten.se/regler-och-tillsyn/tobak-och-nikotinprodukter-regler-for-tillverkning-handel-och-hantering/elektroniska-cigaretter-och-pafyllningsbehallare-sa-foljer-du-reglerna/</x:v>
      </x:c>
      <x:c r="E93" s="14" t="str">
        <x:v>2026-08-03</x:v>
      </x:c>
    </x:row>
    <x:row r="94" ht="31.5" customHeight="1">
      <x:c r="A94" s="14" t="str">
        <x:v>US-FTC-E-CIGARETTE-REPORT-2015-2018</x:v>
      </x:c>
      <x:c r="B94" s="14" t="str">
        <x:v>Federal Trade Commission</x:v>
      </x:c>
      <x:c r="C94" s="14" t="str">
        <x:v>official_report</x:v>
      </x:c>
      <x:c r="D94" s="14" t="str">
        <x:v>https://www.ftc.gov/reports/e-cigarette-report-2015-2018</x:v>
      </x:c>
      <x:c r="E94" s="14" t="str">
        <x:v>2026-08-03</x:v>
      </x:c>
    </x:row>
    <x:row r="95" ht="31.5" customHeight="1">
      <x:c r="A95" s="14" t="str">
        <x:v>US-FTC-E-CIGARETTE-REPORT-2021</x:v>
      </x:c>
      <x:c r="B95" s="14" t="str">
        <x:v>Federal Trade Commission</x:v>
      </x:c>
      <x:c r="C95" s="14" t="str">
        <x:v>official_report</x:v>
      </x:c>
      <x:c r="D95" s="14" t="str">
        <x:v>https://www.ftc.gov/reports/e-cigarette-report-2021</x:v>
      </x:c>
      <x:c r="E95" s="14" t="str">
        <x:v>2026-08-03</x:v>
      </x:c>
    </x:row>
    <x:row r="96" ht="31.5" customHeight="1">
      <x:c r="A96" s="14" t="str">
        <x:v>REGISTER-REFERENCE-E034CF64F670</x:v>
      </x:c>
      <x:c r="B96" s="14" t="str">
        <x:v>health.govt.nz</x:v>
      </x:c>
      <x:c r="C96" s="14" t="str">
        <x:v>register_reference</x:v>
      </x:c>
      <x:c r="D96" s="14" t="str">
        <x:v>https://www.health.govt.nz/regulation-legislation/vaping-herbal-smoking-and-smokeless-tobacco/requirements/complete-a-notifiable-product-annual-return</x:v>
      </x:c>
      <x:c r="E96" s="14" t="str">
        <x:v>2026-08-03</x:v>
      </x:c>
    </x:row>
    <x:row r="97" ht="31.5" customHeight="1">
      <x:c r="A97" s="14" t="str">
        <x:v>REGISTER-REFERENCE-1766C84ECA96</x:v>
      </x:c>
      <x:c r="B97" s="14" t="str">
        <x:v>health.govt.nz</x:v>
      </x:c>
      <x:c r="C97" s="14" t="str">
        <x:v>register_reference</x:v>
      </x:c>
      <x:c r="D97" s="14" t="str">
        <x:v>https://www.health.govt.nz/system/files/2025-11/notifiable-products-annual-sales-return-2025-user-guide.pdf</x:v>
      </x:c>
      <x:c r="E97" s="14" t="str">
        <x:v>2026-08-03</x:v>
      </x:c>
    </x:row>
    <x:row r="98" ht="31.5" customHeight="1">
      <x:c r="A98" s="14" t="str">
        <x:v>REGISTER-REFERENCE-529570B0D6C7</x:v>
      </x:c>
      <x:c r="B98" s="14" t="str">
        <x:v>podatki.gov.pl</x:v>
      </x:c>
      <x:c r="C98" s="14" t="str">
        <x:v>register_reference</x:v>
      </x:c>
      <x:c r="D98" s="14" t="str">
        <x:v>https://www.podatki.gov.pl/akcyza/komunikaty-w-zakresie-podatku-akcyzowego</x:v>
      </x:c>
      <x:c r="E98" s="14" t="str">
        <x:v>2026-08-03</x:v>
      </x:c>
    </x:row>
    <x:row r="99" ht="31.5" customHeight="1">
      <x:c r="A99" s="14" t="str">
        <x:v>REGISTER-REFERENCE-7AD3E1157197</x:v>
      </x:c>
      <x:c r="B99" s="14" t="str">
        <x:v>podatki.gov.pl</x:v>
      </x:c>
      <x:c r="C99" s="14" t="str">
        <x:v>register_reference</x:v>
      </x:c>
      <x:c r="D99" s="14" t="str">
        <x:v>https://www.podatki.gov.pl/akcyza/stawki-podatkowe/</x:v>
      </x:c>
      <x:c r="E99" s="14" t="str">
        <x:v>2026-08-03</x:v>
      </x:c>
    </x:row>
    <x:row r="100" ht="31.5" customHeight="1">
      <x:c r="A100" s="14" t="str">
        <x:v>REGISTER-REFERENCE-645255DD4B34</x:v>
      </x:c>
      <x:c r="B100" s="14" t="str">
        <x:v>stats.govt.nz</x:v>
      </x:c>
      <x:c r="C100" s="14" t="str">
        <x:v>register_reference</x:v>
      </x:c>
      <x:c r="D100" s="14" t="str">
        <x:v>https://www.stats.govt.nz/large-datasets/csv-files-for-download/overseas-merchandise-trade-datasets/</x:v>
      </x:c>
      <x:c r="E100" s="14" t="str">
        <x:v>2026-08-03</x:v>
      </x:c>
    </x:row>
    <x:row r="101" ht="31.5" customHeight="1">
      <x:c r="A101" s="14" t="str">
        <x:v>UN-MEMBER-STATES</x:v>
      </x:c>
      <x:c r="B101" s="14" t="str">
        <x:v>United Nations</x:v>
      </x:c>
      <x:c r="C101" s="14" t="str">
        <x:v>official_reference</x:v>
      </x:c>
      <x:c r="D101" s="14" t="str">
        <x:v>https://www.un.org/en/about-us/member-states</x:v>
      </x:c>
      <x:c r="E101" s="14" t="str">
        <x:v>2026-08-03</x:v>
      </x:c>
    </x:row>
    <x:row r="102" ht="31.5" customHeight="1">
      <x:c r="A102" s="14" t="str">
        <x:v>UN-NON-MEMBER-STATES</x:v>
      </x:c>
      <x:c r="B102" s="14" t="str">
        <x:v>United Nations</x:v>
      </x:c>
      <x:c r="C102" s="14" t="str">
        <x:v>official_reference</x:v>
      </x:c>
      <x:c r="D102" s="14" t="str">
        <x:v>https://www.un.org/en/about-us/non-member-states</x:v>
      </x:c>
      <x:c r="E102" s="14" t="str">
        <x:v>2026-08-03</x:v>
      </x:c>
    </x:row>
    <x:row r="103" ht="31.5" customHeight="1">
      <x:c r="A103" s="14" t="str">
        <x:v>REGISTER-REFERENCE-3332B0031C1D</x:v>
      </x:c>
      <x:c r="B103" s="14" t="str">
        <x:v>www150.statcan.gc.ca</x:v>
      </x:c>
      <x:c r="C103" s="14" t="str">
        <x:v>register_reference</x:v>
      </x:c>
      <x:c r="D103" s="14" t="str">
        <x:v>https://www150.statcan.gc.ca/t1/tbl1/en/tv.action?pid=2010007101</x:v>
      </x:c>
      <x:c r="E103" s="14" t="str">
        <x:v>2026-08-03</x:v>
      </x:c>
    </x:row>
    <x:row r="104" ht="31.5" customHeight="1">
      <x:c r="A104" s="14" t="str">
        <x:v>REGISTER-REFERENCE-D61AFC87FA19</x:v>
      </x:c>
      <x:c r="B104" s="14" t="str">
        <x:v>www150.statcan.gc.ca</x:v>
      </x:c>
      <x:c r="C104" s="14" t="str">
        <x:v>register_reference</x:v>
      </x:c>
      <x:c r="D104" s="14" t="str">
        <x:v>https://www150.statcan.gc.ca/t1/tbl1/en/tv.action?pid=2010008001</x:v>
      </x:c>
      <x:c r="E104" s="14" t="str">
        <x:v>2026-08-03</x:v>
      </x:c>
    </x:row>
    <x:row r="105" ht="31.5" customHeight="1">
      <x:c r="A105" s="14" t="str">
        <x:v>REGISTER-REFERENCE-9479B1548E50</x:v>
      </x:c>
      <x:c r="B105" s="14" t="str">
        <x:v>www3.stats.govt.nz</x:v>
      </x:c>
      <x:c r="C105" s="14" t="str">
        <x:v>register_reference</x:v>
      </x:c>
      <x:c r="D105" s="14" t="str">
        <x:v>https://www3.stats.govt.nz/HS10_by_Country/2024_Exports_HS10.zip</x:v>
      </x:c>
      <x:c r="E105" s="14" t="str">
        <x:v>2026-08-03</x:v>
      </x:c>
    </x:row>
    <x:row r="106" ht="31.5" customHeight="1">
      <x:c r="A106" s="15" t="str">
        <x:v>REGISTER-REFERENCE-94B1312153E9</x:v>
      </x:c>
      <x:c r="B106" s="15" t="str">
        <x:v>www3.stats.govt.nz</x:v>
      </x:c>
      <x:c r="C106" s="15" t="str">
        <x:v>register_reference</x:v>
      </x:c>
      <x:c r="D106" s="15" t="str">
        <x:v>https://www3.stats.govt.nz/HS10_by_Country/2024_Imports_HS10.zip</x:v>
      </x:c>
      <x:c r="E106" s="15" t="str">
        <x:v>2026-08-03</x:v>
      </x:c>
    </x:row>
  </x:sheetData>
  <x:pageMargins left="0.7" right="0.7" top="0.75" bottom="0.75" header="0.3" footer="0.3"/>
  <x:tableParts count="1">
    <x:tablePart xmlns:r="http://schemas.openxmlformats.org/officeDocument/2006/relationships" r:id="R4abfaf65ed3d407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DE-2019-WZ4726-TAXABLE-TURNOVER-EUR</x:v>
      </x:c>
      <x:c r="C19" s="14" t="str">
        <x:v>wz4726_tobacco_specialist_taxable_supplies_and_services_turnover</x:v>
      </x:c>
      <x:c r="D19" s="14" t="str">
        <x:v>Germany</x:v>
      </x:c>
      <x:c r="E19" s="14" t="n">
        <x:v>2019</x:v>
      </x:c>
      <x:c r="F19" s="14" t="str">
        <x:v>calendar_year</x:v>
      </x:c>
      <x:c r="G19" s="45" t="n">
        <x:v>2247267035</x:v>
      </x:c>
      <x:c r="H19" s="45" t="str">
        <x:v>EUR</x:v>
      </x:c>
      <x:c r="I19" s="45" t="n">
        <x:v>1</x:v>
      </x:c>
      <x:c r="J19" s="45" t="n">
        <x:f>G19</x:f>
        <x:v>2247267035</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DE-2020-WZ4726-TAXABLE-TURNOVER-EUR</x:v>
      </x:c>
      <x:c r="C20" s="14" t="str">
        <x:v>wz4726_tobacco_specialist_taxable_supplies_and_services_turnover</x:v>
      </x:c>
      <x:c r="D20" s="14" t="str">
        <x:v>Germany</x:v>
      </x:c>
      <x:c r="E20" s="14" t="n">
        <x:v>2020</x:v>
      </x:c>
      <x:c r="F20" s="14" t="str">
        <x:v>calendar_year</x:v>
      </x:c>
      <x:c r="G20" s="45" t="n">
        <x:v>2444948000</x:v>
      </x:c>
      <x:c r="H20" s="45" t="str">
        <x:v>EUR</x:v>
      </x:c>
      <x:c r="I20" s="45" t="n">
        <x:v>1</x:v>
      </x:c>
      <x:c r="J20" s="45" t="n">
        <x:f>G20</x:f>
        <x:v>2444948000</x:v>
      </x:c>
      <x:c r="K20" s="14" t="str">
        <x:v>EUR-IDENTITY</x:v>
      </x:c>
      <x:c r="L20" s="14" t="str">
        <x:v>https://www.ecb.europa.eu/stats/policy_and_exchange_rates/euro_reference_exchange_rates/html/index.en.html</x:v>
      </x:c>
      <x:c r="M20" s="14" t="str">
        <x:v>already_eur</x:v>
      </x:c>
      <x:c r="N20" s="14" t="str">
        <x:v>original_currency_already_eur</x:v>
      </x:c>
    </x:row>
    <x:row r="21" ht="25.5" customHeight="1">
      <x:c r="A21" s="14" t="str">
        <x:v>market_observation</x:v>
      </x:c>
      <x:c r="B21" s="14" t="str">
        <x:v>DE-2021-WZ4726-TAXABLE-TURNOVER-EUR</x:v>
      </x:c>
      <x:c r="C21" s="14" t="str">
        <x:v>wz4726_tobacco_specialist_taxable_supplies_and_services_turnover</x:v>
      </x:c>
      <x:c r="D21" s="14" t="str">
        <x:v>Germany</x:v>
      </x:c>
      <x:c r="E21" s="14" t="n">
        <x:v>2021</x:v>
      </x:c>
      <x:c r="F21" s="14" t="str">
        <x:v>calendar_year</x:v>
      </x:c>
      <x:c r="G21" s="45" t="n">
        <x:v>2325648577</x:v>
      </x:c>
      <x:c r="H21" s="45" t="str">
        <x:v>EUR</x:v>
      </x:c>
      <x:c r="I21" s="45" t="n">
        <x:v>1</x:v>
      </x:c>
      <x:c r="J21" s="45" t="n">
        <x:f>G21</x:f>
        <x:v>2325648577</x:v>
      </x:c>
      <x:c r="K21" s="14" t="str">
        <x:v>EUR-IDENTITY</x:v>
      </x:c>
      <x:c r="L21" s="14" t="str">
        <x:v>https://www.ecb.europa.eu/stats/policy_and_exchange_rates/euro_reference_exchange_rates/html/index.en.html</x:v>
      </x:c>
      <x:c r="M21" s="14" t="str">
        <x:v>already_eur</x:v>
      </x:c>
      <x:c r="N21" s="14" t="str">
        <x:v>original_currency_already_eur</x:v>
      </x:c>
    </x:row>
    <x:row r="22" ht="25.5" customHeight="1">
      <x:c r="A22" s="14" t="str">
        <x:v>market_observation</x:v>
      </x:c>
      <x:c r="B22" s="14" t="str">
        <x:v>DE-2022-WZ4726-TAXABLE-TURNOVER-EUR</x:v>
      </x:c>
      <x:c r="C22" s="14" t="str">
        <x:v>wz4726_tobacco_specialist_taxable_supplies_and_services_turnover</x:v>
      </x:c>
      <x:c r="D22" s="14" t="str">
        <x:v>Germany</x:v>
      </x:c>
      <x:c r="E22" s="14" t="n">
        <x:v>2022</x:v>
      </x:c>
      <x:c r="F22" s="14" t="str">
        <x:v>calendar_year</x:v>
      </x:c>
      <x:c r="G22" s="45" t="n">
        <x:v>2510888578</x:v>
      </x:c>
      <x:c r="H22" s="45" t="str">
        <x:v>EUR</x:v>
      </x:c>
      <x:c r="I22" s="45" t="n">
        <x:v>1</x:v>
      </x:c>
      <x:c r="J22" s="45" t="n">
        <x:f>G22</x:f>
        <x:v>2510888578</x:v>
      </x:c>
      <x:c r="K22" s="14" t="str">
        <x:v>EUR-IDENTITY</x:v>
      </x:c>
      <x:c r="L22" s="14" t="str">
        <x:v>https://www.ecb.europa.eu/stats/policy_and_exchange_rates/euro_reference_exchange_rates/html/index.en.html</x:v>
      </x:c>
      <x:c r="M22" s="14" t="str">
        <x:v>already_eur</x:v>
      </x:c>
      <x:c r="N22" s="14" t="str">
        <x:v>original_currency_already_eur</x:v>
      </x:c>
    </x:row>
    <x:row r="23" ht="25.5" customHeight="1">
      <x:c r="A23" s="14" t="str">
        <x:v>market_observation</x:v>
      </x:c>
      <x:c r="B23" s="14" t="str">
        <x:v>DE-2023-WZ4726-TAXABLE-TURNOVER-EUR</x:v>
      </x:c>
      <x:c r="C23" s="14" t="str">
        <x:v>wz4726_tobacco_specialist_taxable_supplies_and_services_turnover</x:v>
      </x:c>
      <x:c r="D23" s="14" t="str">
        <x:v>Germany</x:v>
      </x:c>
      <x:c r="E23" s="14" t="n">
        <x:v>2023</x:v>
      </x:c>
      <x:c r="F23" s="14" t="str">
        <x:v>calendar_year</x:v>
      </x:c>
      <x:c r="G23" s="45" t="n">
        <x:v>2581608198</x:v>
      </x:c>
      <x:c r="H23" s="45" t="str">
        <x:v>EUR</x:v>
      </x:c>
      <x:c r="I23" s="45" t="n">
        <x:v>1</x:v>
      </x:c>
      <x:c r="J23" s="45" t="n">
        <x:f>G23</x:f>
        <x:v>2581608198</x:v>
      </x:c>
      <x:c r="K23" s="14" t="str">
        <x:v>EUR-IDENTITY</x:v>
      </x:c>
      <x:c r="L23" s="14" t="str">
        <x:v>https://www.ecb.europa.eu/stats/policy_and_exchange_rates/euro_reference_exchange_rates/html/index.en.html</x:v>
      </x:c>
      <x:c r="M23" s="14" t="str">
        <x:v>already_eur</x:v>
      </x:c>
      <x:c r="N23" s="14" t="str">
        <x:v>original_currency_already_eur</x:v>
      </x:c>
    </x:row>
    <x:row r="24" ht="25.5" customHeight="1">
      <x:c r="A24" s="14" t="str">
        <x:v>market_observation</x:v>
      </x:c>
      <x:c r="B24" s="14" t="str">
        <x:v>DE-2024-WZ4726-TAXABLE-TURNOVER-EUR</x:v>
      </x:c>
      <x:c r="C24" s="14" t="str">
        <x:v>wz4726_tobacco_specialist_taxable_supplies_and_services_turnover</x:v>
      </x:c>
      <x:c r="D24" s="14" t="str">
        <x:v>Germany</x:v>
      </x:c>
      <x:c r="E24" s="14" t="n">
        <x:v>2024</x:v>
      </x:c>
      <x:c r="F24" s="14" t="str">
        <x:v>calendar_year</x:v>
      </x:c>
      <x:c r="G24" s="45" t="n">
        <x:v>2687776000</x:v>
      </x:c>
      <x:c r="H24" s="45" t="str">
        <x:v>EUR</x:v>
      </x:c>
      <x:c r="I24" s="45" t="n">
        <x:v>1</x:v>
      </x:c>
      <x:c r="J24" s="45" t="n">
        <x:f>G24</x:f>
        <x:v>2687776000</x:v>
      </x:c>
      <x:c r="K24" s="14" t="str">
        <x:v>EUR-IDENTITY</x:v>
      </x:c>
      <x:c r="L24" s="14" t="str">
        <x:v>https://www.ecb.europa.eu/stats/policy_and_exchange_rates/euro_reference_exchange_rates/html/index.en.html</x:v>
      </x:c>
      <x:c r="M24" s="14" t="str">
        <x:v>already_eur</x:v>
      </x:c>
      <x:c r="N24" s="14" t="str">
        <x:v>original_currency_already_eur</x:v>
      </x:c>
    </x:row>
    <x:row r="25" ht="25.5" customHeight="1">
      <x:c r="A25" s="14" t="str">
        <x:v>market_observation</x:v>
      </x:c>
      <x:c r="B25" s="14" t="str">
        <x:v>FI-2025-NICOTINE-E-LIQUID-EXCISE-RECEIPTS</x:v>
      </x:c>
      <x:c r="C25" s="14" t="str">
        <x:v>nicotine_e_liquid_excise_receipts</x:v>
      </x:c>
      <x:c r="D25" s="14" t="str">
        <x:v>Finland</x:v>
      </x:c>
      <x:c r="E25" s="14" t="n">
        <x:v>2025</x:v>
      </x:c>
      <x:c r="F25" s="14" t="str">
        <x:v>calendar_year</x:v>
      </x:c>
      <x:c r="G25" s="45" t="n">
        <x:v>3540319</x:v>
      </x:c>
      <x:c r="H25" s="45" t="str">
        <x:v>EUR</x:v>
      </x:c>
      <x:c r="I25" s="45" t="n">
        <x:v>1</x:v>
      </x:c>
      <x:c r="J25" s="45" t="n">
        <x:f>G25</x:f>
        <x:v>3540319</x:v>
      </x:c>
      <x:c r="K25" s="14" t="str">
        <x:v>EUR-IDENTITY</x:v>
      </x:c>
      <x:c r="L25" s="14" t="str">
        <x:v>https://www.ecb.europa.eu/stats/policy_and_exchange_rates/euro_reference_exchange_rates/html/index.en.html</x:v>
      </x:c>
      <x:c r="M25" s="14" t="str">
        <x:v>already_eur</x:v>
      </x:c>
      <x:c r="N25" s="14" t="str">
        <x:v>original_currency_already_eur</x:v>
      </x:c>
    </x:row>
    <x:row r="26" ht="25.5" customHeight="1">
      <x:c r="A26" s="14" t="str">
        <x:v>market_observation</x:v>
      </x:c>
      <x:c r="B26" s="14" t="str">
        <x:v>PL-2021-E-LIQUID-EXCISE-RECEIPTS</x:v>
      </x:c>
      <x:c r="C26" s="14" t="str">
        <x:v>e_liquid_excise_receipts</x:v>
      </x:c>
      <x:c r="D26" s="14" t="str">
        <x:v>Poland</x:v>
      </x:c>
      <x:c r="E26" s="14" t="n">
        <x:v>2021</x:v>
      </x:c>
      <x:c r="F26" s="14" t="str">
        <x:v>calendar_year</x:v>
      </x:c>
      <x:c r="G26" s="45" t="n">
        <x:v>179500000</x:v>
      </x:c>
      <x:c r="H26" s="45" t="str">
        <x:v>PLN</x:v>
      </x:c>
      <x:c r="I26" s="45" t="n">
        <x:v>4.5651786821705</x:v>
      </x:c>
      <x:c r="J26" s="45" t="n">
        <x:f>G26/I26</x:f>
        <x:v>39319381.01372568</x:v>
      </x:c>
      <x:c r="K26" s="14" t="str">
        <x:v>ECB-EXR-A-PLN-EUR-SP00-A-2021</x:v>
      </x:c>
      <x:c r="L26" s="14" t="str">
        <x:v>https://data-api.ecb.europa.eu/service/data/EXR/A.PLN.EUR.SP00.A?startPeriod=2021&amp;endPeriod=2021&amp;format=csvdata</x:v>
      </x:c>
      <x:c r="M26" s="14" t="str">
        <x:v>computed</x:v>
      </x:c>
      <x:c r="N26" s="14" t="str">
        <x:v>original_amount_divided_by_ecb_annual_average</x:v>
      </x:c>
    </x:row>
    <x:row r="27" ht="25.5" customHeight="1">
      <x:c r="A27" s="14" t="str">
        <x:v>market_observation</x:v>
      </x:c>
      <x:c r="B27" s="14" t="str">
        <x:v>PL-2022-E-LIQUID-EXCISE-RECEIPTS</x:v>
      </x:c>
      <x:c r="C27" s="14" t="str">
        <x:v>e_liquid_excise_receipts</x:v>
      </x:c>
      <x:c r="D27" s="14" t="str">
        <x:v>Poland</x:v>
      </x:c>
      <x:c r="E27" s="14" t="n">
        <x:v>2022</x:v>
      </x:c>
      <x:c r="F27" s="14" t="str">
        <x:v>calendar_year</x:v>
      </x:c>
      <x:c r="G27" s="45" t="n">
        <x:v>229900000</x:v>
      </x:c>
      <x:c r="H27" s="45" t="str">
        <x:v>PLN</x:v>
      </x:c>
      <x:c r="I27" s="45" t="n">
        <x:v>4.686106614786</x:v>
      </x:c>
      <x:c r="J27" s="45" t="n">
        <x:f>G27/I27</x:f>
        <x:v>49059916.66399566</x:v>
      </x:c>
      <x:c r="K27" s="14" t="str">
        <x:v>ECB-EXR-A-PLN-EUR-SP00-A-2022</x:v>
      </x:c>
      <x:c r="L27" s="14" t="str">
        <x:v>https://data-api.ecb.europa.eu/service/data/EXR/A.PLN.EUR.SP00.A?startPeriod=2022&amp;endPeriod=2022&amp;format=csvdata</x:v>
      </x:c>
      <x:c r="M27" s="14" t="str">
        <x:v>computed</x:v>
      </x:c>
      <x:c r="N27" s="14" t="str">
        <x:v>original_amount_divided_by_ecb_annual_average</x:v>
      </x:c>
    </x:row>
    <x:row r="28" ht="25.5" customHeight="1">
      <x:c r="A28" s="14" t="str">
        <x:v>market_observation</x:v>
      </x:c>
      <x:c r="B28" s="14" t="str">
        <x:v>PL-2023-E-LIQUID-EXCISE-RECEIPTS</x:v>
      </x:c>
      <x:c r="C28" s="14" t="str">
        <x:v>e_liquid_excise_receipts</x:v>
      </x:c>
      <x:c r="D28" s="14" t="str">
        <x:v>Poland</x:v>
      </x:c>
      <x:c r="E28" s="14" t="n">
        <x:v>2023</x:v>
      </x:c>
      <x:c r="F28" s="14" t="str">
        <x:v>calendar_year</x:v>
      </x:c>
      <x:c r="G28" s="45" t="n">
        <x:v>443600000</x:v>
      </x:c>
      <x:c r="H28" s="45" t="str">
        <x:v>PLN</x:v>
      </x:c>
      <x:c r="I28" s="45" t="n">
        <x:v>4.5419658823529</x:v>
      </x:c>
      <x:c r="J28" s="45" t="n">
        <x:f>G28/I28</x:f>
        <x:v>97666959.96628653</x:v>
      </x:c>
      <x:c r="K28" s="14" t="str">
        <x:v>ECB-EXR-A-PLN-EUR-SP00-A-2023</x:v>
      </x:c>
      <x:c r="L28" s="14" t="str">
        <x:v>https://data-api.ecb.europa.eu/service/data/EXR/A.PLN.EUR.SP00.A?startPeriod=2023&amp;endPeriod=2023&amp;format=csvdata</x:v>
      </x:c>
      <x:c r="M28" s="14" t="str">
        <x:v>computed</x:v>
      </x:c>
      <x:c r="N28" s="14" t="str">
        <x:v>original_amount_divided_by_ecb_annual_average</x:v>
      </x:c>
    </x:row>
    <x:row r="29" ht="25.5" customHeight="1">
      <x:c r="A29" s="14" t="str">
        <x:v>market_observation</x:v>
      </x:c>
      <x:c r="B29" s="14" t="str">
        <x:v>PL-2024-E-LIQUID-EXCISE-RECEIPTS</x:v>
      </x:c>
      <x:c r="C29" s="14" t="str">
        <x:v>e_liquid_excise_receipts</x:v>
      </x:c>
      <x:c r="D29" s="14" t="str">
        <x:v>Poland</x:v>
      </x:c>
      <x:c r="E29" s="14" t="n">
        <x:v>2024</x:v>
      </x:c>
      <x:c r="F29" s="14" t="str">
        <x:v>calendar_year</x:v>
      </x:c>
      <x:c r="G29" s="45" t="n">
        <x:v>561400000</x:v>
      </x:c>
      <x:c r="H29" s="45" t="str">
        <x:v>PLN</x:v>
      </x:c>
      <x:c r="I29" s="45" t="n">
        <x:v>4.305795703125</x:v>
      </x:c>
      <x:c r="J29" s="45" t="n">
        <x:f>G29/I29</x:f>
        <x:v>130382405.18298511</x:v>
      </x:c>
      <x:c r="K29" s="14" t="str">
        <x:v>ECB-EXR-A-PLN-EUR-SP00-A-2024</x:v>
      </x:c>
      <x:c r="L29" s="14" t="str">
        <x:v>https://data-api.ecb.europa.eu/service/data/EXR/A.PLN.EUR.SP00.A?startPeriod=2024&amp;endPeriod=2024&amp;format=csvdata</x:v>
      </x:c>
      <x:c r="M29" s="14" t="str">
        <x:v>computed</x:v>
      </x:c>
      <x:c r="N29" s="14" t="str">
        <x:v>original_amount_divided_by_ecb_annual_average</x:v>
      </x:c>
    </x:row>
    <x:row r="30" ht="25.5" customHeight="1">
      <x:c r="A30" s="14" t="str">
        <x:v>market_observation</x:v>
      </x:c>
      <x:c r="B30" s="14" t="str">
        <x:v>PL-2015-UOKIK-E-CIGARETTE-MARKET-VALUE-ESTIMATE</x:v>
      </x:c>
      <x:c r="C30" s="14" t="str">
        <x:v>institutional_market_value_benchmark</x:v>
      </x:c>
      <x:c r="D30" s="14" t="str">
        <x:v>Poland</x:v>
      </x:c>
      <x:c r="E30" s="14" t="n">
        <x:v>2015</x:v>
      </x:c>
      <x:c r="F30" s="14" t="str">
        <x:v>study_reference_period_may_2015</x:v>
      </x:c>
      <x:c r="G30" s="45" t="n">
        <x:v>500000000</x:v>
      </x:c>
      <x:c r="H30" s="45" t="str">
        <x:v>PLN</x:v>
      </x:c>
      <x:c r="I30" s="45"/>
      <x:c r="J30" s="45"/>
      <x:c r="K30" s="14"/>
      <x:c r="L30" s="14" t="str">
        <x:v>https://data.ecb.europa.eu/data/datasets/exr/data-information</x:v>
      </x:c>
      <x:c r="M30" s="14" t="str">
        <x:v>not_computed</x:v>
      </x:c>
      <x:c r="N30" s="14" t="str">
        <x:v>period_not_compatible_with_annual_average</x:v>
      </x:c>
    </x:row>
    <x:row r="31" ht="25.5" customHeight="1">
      <x:c r="A31" s="14" t="str">
        <x:v>market_observation</x:v>
      </x:c>
      <x:c r="B31" s="14" t="str">
        <x:v>PL-2025-E-LIQUID-EXCISE-AMOUNT</x:v>
      </x:c>
      <x:c r="C31" s="14" t="str">
        <x:v>e_liquid_excise_receipts</x:v>
      </x:c>
      <x:c r="D31" s="14" t="str">
        <x:v>Poland</x:v>
      </x:c>
      <x:c r="E31" s="14" t="n">
        <x:v>2025</x:v>
      </x:c>
      <x:c r="F31" s="14" t="str">
        <x:v>calendar_year</x:v>
      </x:c>
      <x:c r="G31" s="45" t="n">
        <x:v>993100000</x:v>
      </x:c>
      <x:c r="H31" s="45" t="str">
        <x:v>PLN</x:v>
      </x:c>
      <x:c r="I31" s="45" t="n">
        <x:v>4.2396576470588</x:v>
      </x:c>
      <x:c r="J31" s="45" t="n">
        <x:f>G31/I31</x:f>
        <x:v>234240611.54771507</x:v>
      </x:c>
      <x:c r="K31" s="14" t="str">
        <x:v>ECB-EXR-A-PLN-EUR-SP00-A-2025</x:v>
      </x:c>
      <x:c r="L31" s="14" t="str">
        <x:v>https://data-api.ecb.europa.eu/service/data/EXR/A.PLN.EUR.SP00.A?startPeriod=2025&amp;endPeriod=2025&amp;format=csvdata</x:v>
      </x:c>
      <x:c r="M31" s="14" t="str">
        <x:v>computed</x:v>
      </x:c>
      <x:c r="N31" s="14" t="str">
        <x:v>original_amount_divided_by_ecb_annual_average</x:v>
      </x:c>
    </x:row>
    <x:row r="32" ht="25.5" customHeight="1">
      <x:c r="A32" s="14" t="str">
        <x:v>market_observation</x:v>
      </x:c>
      <x:c r="B32" s="14" t="str">
        <x:v>PL-2025-VAPING-DEVICE-EXCISE-AMOUNT</x:v>
      </x:c>
      <x:c r="C32" s="14" t="str">
        <x:v>vaporisation_device_broad_group_excise_amount</x:v>
      </x:c>
      <x:c r="D32" s="14" t="str">
        <x:v>Poland</x:v>
      </x:c>
      <x:c r="E32" s="14" t="n">
        <x:v>2025</x:v>
      </x:c>
      <x:c r="F32" s="14" t="str">
        <x:v>calendar_year</x:v>
      </x:c>
      <x:c r="G32" s="45" t="n">
        <x:v>175300000</x:v>
      </x:c>
      <x:c r="H32" s="45" t="str">
        <x:v>PLN</x:v>
      </x:c>
      <x:c r="I32" s="45" t="n">
        <x:v>4.2396576470588</x:v>
      </x:c>
      <x:c r="J32" s="45" t="n">
        <x:f>G32/I32</x:f>
        <x:v>41347678.183782555</x:v>
      </x:c>
      <x:c r="K32" s="14" t="str">
        <x:v>ECB-EXR-A-PLN-EUR-SP00-A-2025</x:v>
      </x:c>
      <x:c r="L32" s="14" t="str">
        <x:v>https://data-api.ecb.europa.eu/service/data/EXR/A.PLN.EUR.SP00.A?startPeriod=2025&amp;endPeriod=2025&amp;format=csvdata</x:v>
      </x:c>
      <x:c r="M32" s="14" t="str">
        <x:v>computed</x:v>
      </x:c>
      <x:c r="N32" s="14" t="str">
        <x:v>original_amount_divided_by_ecb_annual_average</x:v>
      </x:c>
    </x:row>
    <x:row r="33" ht="25.5" customHeight="1">
      <x:c r="A33" s="14" t="str">
        <x:v>market_observation</x:v>
      </x:c>
      <x:c r="B33" s="14" t="str">
        <x:v>PL-2025-VAPING-COMPONENT-SETS-EXCISE-AMOUNT</x:v>
      </x:c>
      <x:c r="C33" s="14" t="str">
        <x:v>vaporisation_device_component_sets_broad_group_excise_amount</x:v>
      </x:c>
      <x:c r="D33" s="14" t="str">
        <x:v>Poland</x:v>
      </x:c>
      <x:c r="E33" s="14" t="n">
        <x:v>2025</x:v>
      </x:c>
      <x:c r="F33" s="14" t="str">
        <x:v>calendar_year</x:v>
      </x:c>
      <x:c r="G33" s="45" t="n">
        <x:v>2500000</x:v>
      </x:c>
      <x:c r="H33" s="45" t="str">
        <x:v>PLN</x:v>
      </x:c>
      <x:c r="I33" s="45" t="n">
        <x:v>4.2396576470588</x:v>
      </x:c>
      <x:c r="J33" s="45" t="n">
        <x:f>G33/I33</x:f>
        <x:v>589670.2536192606</x:v>
      </x:c>
      <x:c r="K33" s="14" t="str">
        <x:v>ECB-EXR-A-PLN-EUR-SP00-A-2025</x:v>
      </x:c>
      <x:c r="L33" s="14" t="str">
        <x:v>https://data-api.ecb.europa.eu/service/data/EXR/A.PLN.EUR.SP00.A?startPeriod=2025&amp;endPeriod=2025&amp;format=csvdata</x:v>
      </x:c>
      <x:c r="M33" s="14" t="str">
        <x:v>computed</x:v>
      </x:c>
      <x:c r="N33" s="14" t="str">
        <x:v>original_amount_divided_by_ecb_annual_average</x:v>
      </x:c>
    </x:row>
    <x:row r="34" ht="25.5" customHeight="1">
      <x:c r="A34" s="14" t="str">
        <x:v>market_observation</x:v>
      </x:c>
      <x:c r="B34" s="14" t="str">
        <x:v>SE-2024-NICOTINE-E-LIQUID-EXCISE-RECEIPTS</x:v>
      </x:c>
      <x:c r="C34" s="14" t="str">
        <x:v>nicotine_e_liquid_excise_receipts</x:v>
      </x:c>
      <x:c r="D34" s="14" t="str">
        <x:v>Sweden</x:v>
      </x:c>
      <x:c r="E34" s="14" t="n">
        <x:v>2024</x:v>
      </x:c>
      <x:c r="F34" s="14" t="str">
        <x:v>calendar_year</x:v>
      </x:c>
      <x:c r="G34" s="45" t="n">
        <x:v>80000000</x:v>
      </x:c>
      <x:c r="H34" s="45" t="str">
        <x:v>SEK</x:v>
      </x:c>
      <x:c r="I34" s="45" t="n">
        <x:v>11.432519140625</x:v>
      </x:c>
      <x:c r="J34" s="45" t="n">
        <x:f>G34/I34</x:f>
        <x:v>6997582.861306848</x:v>
      </x:c>
      <x:c r="K34" s="14" t="str">
        <x:v>ECB-EXR-A-SEK-EUR-SP00-A-2024</x:v>
      </x:c>
      <x:c r="L34" s="14" t="str">
        <x:v>https://data-api.ecb.europa.eu/service/data/EXR/A.SEK.EUR.SP00.A?startPeriod=2024&amp;endPeriod=2024&amp;format=csvdata</x:v>
      </x:c>
      <x:c r="M34" s="14" t="str">
        <x:v>computed</x:v>
      </x:c>
      <x:c r="N34" s="14" t="str">
        <x:v>original_amount_divided_by_ecb_annual_average</x:v>
      </x:c>
    </x:row>
    <x:row r="35" ht="25.5" customHeight="1">
      <x:c r="A35" s="14" t="str">
        <x:v>market_observation</x:v>
      </x:c>
      <x:c r="B35" s="14" t="str">
        <x:v>GLOBAL-2025-IMARC-COMMERCIAL-ESTIMATE</x:v>
      </x:c>
      <x:c r="C35" s="14" t="str">
        <x:v>commercial_market_estimate</x:v>
      </x:c>
      <x:c r="D35" s="14" t="str">
        <x:v>Global</x:v>
      </x:c>
      <x:c r="E35" s="14" t="n">
        <x:v>2025</x:v>
      </x:c>
      <x:c r="F35" s="14" t="str">
        <x:v>calendar_year_estimate</x:v>
      </x:c>
      <x:c r="G35" s="45" t="n">
        <x:v>26000000000</x:v>
      </x:c>
      <x:c r="H35" s="45" t="str">
        <x:v>USD</x:v>
      </x:c>
      <x:c r="I35" s="45" t="n">
        <x:v>1.1299831372549</x:v>
      </x:c>
      <x:c r="J35" s="45" t="n">
        <x:f>G35/I35</x:f>
        <x:v>23009192918.721367</x:v>
      </x:c>
      <x:c r="K35" s="14" t="str">
        <x:v>ECB-EXR-A-USD-EUR-SP00-A-2025</x:v>
      </x:c>
      <x:c r="L35" s="14" t="str">
        <x:v>https://data-api.ecb.europa.eu/service/data/EXR/A.USD.EUR.SP00.A?startPeriod=2025&amp;endPeriod=2025&amp;format=csvdata</x:v>
      </x:c>
      <x:c r="M35" s="14" t="str">
        <x:v>computed</x:v>
      </x:c>
      <x:c r="N35" s="14" t="str">
        <x:v>original_amount_divided_by_ecb_annual_average</x:v>
      </x:c>
    </x:row>
    <x:row r="36" ht="25.5" customHeight="1">
      <x:c r="A36" s="14" t="str">
        <x:v>market_observation</x:v>
      </x:c>
      <x:c r="B36" s="14" t="str">
        <x:v>GLOBAL-2025-GVR-COMMERCIAL-ESTIMATE</x:v>
      </x:c>
      <x:c r="C36" s="14" t="str">
        <x:v>commercial_market_estimate</x:v>
      </x:c>
      <x:c r="D36" s="14" t="str">
        <x:v>Global</x:v>
      </x:c>
      <x:c r="E36" s="14" t="n">
        <x:v>2025</x:v>
      </x:c>
      <x:c r="F36" s="14" t="str">
        <x:v>calendar_year_estimate</x:v>
      </x:c>
      <x:c r="G36" s="45" t="n">
        <x:v>45700000000</x:v>
      </x:c>
      <x:c r="H36" s="45" t="str">
        <x:v>USD</x:v>
      </x:c>
      <x:c r="I36" s="45" t="n">
        <x:v>1.1299831372549</x:v>
      </x:c>
      <x:c r="J36" s="45" t="n">
        <x:f>G36/I36</x:f>
        <x:v>40443081399.44486</x:v>
      </x:c>
      <x:c r="K36" s="14" t="str">
        <x:v>ECB-EXR-A-USD-EUR-SP00-A-2025</x:v>
      </x:c>
      <x:c r="L36" s="14" t="str">
        <x:v>https://data-api.ecb.europa.eu/service/data/EXR/A.USD.EUR.SP00.A?startPeriod=2025&amp;endPeriod=2025&amp;format=csvdata</x:v>
      </x:c>
      <x:c r="M36" s="14" t="str">
        <x:v>computed</x:v>
      </x:c>
      <x:c r="N36" s="14" t="str">
        <x:v>original_amount_divided_by_ecb_annual_average</x:v>
      </x:c>
    </x:row>
    <x:row r="37" ht="25.5" customHeight="1">
      <x:c r="A37" s="14" t="str">
        <x:v>market_observation</x:v>
      </x:c>
      <x:c r="B37" s="14" t="str">
        <x:v>GLOBAL-2025-FORTUNE-COMMERCIAL-ESTIMATE</x:v>
      </x:c>
      <x:c r="C37" s="14" t="str">
        <x:v>commercial_market_estimate</x:v>
      </x:c>
      <x:c r="D37" s="14" t="str">
        <x:v>Global</x:v>
      </x:c>
      <x:c r="E37" s="14" t="n">
        <x:v>2025</x:v>
      </x:c>
      <x:c r="F37" s="14" t="str">
        <x:v>calendar_year_estimate</x:v>
      </x:c>
      <x:c r="G37" s="45" t="n">
        <x:v>46320000000</x:v>
      </x:c>
      <x:c r="H37" s="45" t="str">
        <x:v>USD</x:v>
      </x:c>
      <x:c r="I37" s="45" t="n">
        <x:v>1.1299831372549</x:v>
      </x:c>
      <x:c r="J37" s="45" t="n">
        <x:f>G37/I37</x:f>
        <x:v>40991762153.66052</x:v>
      </x:c>
      <x:c r="K37" s="14" t="str">
        <x:v>ECB-EXR-A-USD-EUR-SP00-A-2025</x:v>
      </x:c>
      <x:c r="L37" s="14" t="str">
        <x:v>https://data-api.ecb.europa.eu/service/data/EXR/A.USD.EUR.SP00.A?startPeriod=2025&amp;endPeriod=2025&amp;format=csvdata</x:v>
      </x:c>
      <x:c r="M37" s="14" t="str">
        <x:v>computed</x:v>
      </x:c>
      <x:c r="N37" s="14" t="str">
        <x:v>original_amount_divided_by_ecb_annual_average</x:v>
      </x:c>
    </x:row>
    <x:row r="38" ht="25.5" customHeight="1">
      <x:c r="A38" s="14" t="str">
        <x:v>market_observation</x:v>
      </x:c>
      <x:c r="B38" s="14" t="str">
        <x:v>US-2015-FTC-CARTRIDGE-DISPOSABLE-REPORTED-SALES</x:v>
      </x:c>
      <x:c r="C38" s="14" t="str">
        <x:v>ftc_reported_cartridge_and_disposable_sales</x:v>
      </x:c>
      <x:c r="D38" s="14" t="str">
        <x:v>United States</x:v>
      </x:c>
      <x:c r="E38" s="14" t="n">
        <x:v>2015</x:v>
      </x:c>
      <x:c r="F38" s="14" t="str">
        <x:v>calendar_year</x:v>
      </x:c>
      <x:c r="G38" s="45" t="n">
        <x:v>304170046</x:v>
      </x:c>
      <x:c r="H38" s="45" t="str">
        <x:v>USD</x:v>
      </x:c>
      <x:c r="I38" s="45" t="n">
        <x:v>1.109512890625</x:v>
      </x:c>
      <x:c r="J38" s="45" t="n">
        <x:f>G38/I38</x:f>
        <x:v>274147374.5552049</x:v>
      </x:c>
      <x:c r="K38" s="14" t="str">
        <x:v>ECB-EXR-A-USD-EUR-SP00-A-2015</x:v>
      </x:c>
      <x:c r="L38" s="14" t="str">
        <x:v>https://data-api.ecb.europa.eu/service/data/EXR/A.USD.EUR.SP00.A?startPeriod=2015&amp;endPeriod=2015&amp;format=csvdata</x:v>
      </x:c>
      <x:c r="M38" s="14" t="str">
        <x:v>computed</x:v>
      </x:c>
      <x:c r="N38" s="14" t="str">
        <x:v>original_amount_divided_by_ecb_annual_average</x:v>
      </x:c>
    </x:row>
    <x:row r="39" ht="25.5" customHeight="1">
      <x:c r="A39" s="14" t="str">
        <x:v>market_observation</x:v>
      </x:c>
      <x:c r="B39" s="14" t="str">
        <x:v>US-2016-FTC-CARTRIDGE-DISPOSABLE-REPORTED-SALES</x:v>
      </x:c>
      <x:c r="C39" s="14" t="str">
        <x:v>ftc_reported_cartridge_and_disposable_sales</x:v>
      </x:c>
      <x:c r="D39" s="14" t="str">
        <x:v>United States</x:v>
      </x:c>
      <x:c r="E39" s="14" t="n">
        <x:v>2016</x:v>
      </x:c>
      <x:c r="F39" s="14" t="str">
        <x:v>calendar_year</x:v>
      </x:c>
      <x:c r="G39" s="45" t="n">
        <x:v>485707484</x:v>
      </x:c>
      <x:c r="H39" s="45" t="str">
        <x:v>USD</x:v>
      </x:c>
      <x:c r="I39" s="45" t="n">
        <x:v>1.1069031128405</x:v>
      </x:c>
      <x:c r="J39" s="45" t="n">
        <x:f>G39/I39</x:f>
        <x:v>438798552.7961817</x:v>
      </x:c>
      <x:c r="K39" s="14" t="str">
        <x:v>ECB-EXR-A-USD-EUR-SP00-A-2016</x:v>
      </x:c>
      <x:c r="L39" s="14" t="str">
        <x:v>https://data-api.ecb.europa.eu/service/data/EXR/A.USD.EUR.SP00.A?startPeriod=2016&amp;endPeriod=2016&amp;format=csvdata</x:v>
      </x:c>
      <x:c r="M39" s="14" t="str">
        <x:v>computed</x:v>
      </x:c>
      <x:c r="N39" s="14" t="str">
        <x:v>original_amount_divided_by_ecb_annual_average</x:v>
      </x:c>
    </x:row>
    <x:row r="40" ht="25.5" customHeight="1">
      <x:c r="A40" s="14" t="str">
        <x:v>market_observation</x:v>
      </x:c>
      <x:c r="B40" s="14" t="str">
        <x:v>US-2017-FTC-CARTRIDGE-DISPOSABLE-REPORTED-SALES</x:v>
      </x:c>
      <x:c r="C40" s="14" t="str">
        <x:v>ftc_reported_cartridge_and_disposable_sales</x:v>
      </x:c>
      <x:c r="D40" s="14" t="str">
        <x:v>United States</x:v>
      </x:c>
      <x:c r="E40" s="14" t="n">
        <x:v>2017</x:v>
      </x:c>
      <x:c r="F40" s="14" t="str">
        <x:v>calendar_year</x:v>
      </x:c>
      <x:c r="G40" s="45" t="n">
        <x:v>779836399</x:v>
      </x:c>
      <x:c r="H40" s="45" t="str">
        <x:v>USD</x:v>
      </x:c>
      <x:c r="I40" s="45" t="n">
        <x:v>1.1296811764706</x:v>
      </x:c>
      <x:c r="J40" s="45" t="n">
        <x:f>G40/I40</x:f>
        <x:v>690315475.943752</x:v>
      </x:c>
      <x:c r="K40" s="14" t="str">
        <x:v>ECB-EXR-A-USD-EUR-SP00-A-2017</x:v>
      </x:c>
      <x:c r="L40" s="14" t="str">
        <x:v>https://data-api.ecb.europa.eu/service/data/EXR/A.USD.EUR.SP00.A?startPeriod=2017&amp;endPeriod=2017&amp;format=csvdata</x:v>
      </x:c>
      <x:c r="M40" s="14" t="str">
        <x:v>computed</x:v>
      </x:c>
      <x:c r="N40" s="14" t="str">
        <x:v>original_amount_divided_by_ecb_annual_average</x:v>
      </x:c>
    </x:row>
    <x:row r="41" ht="25.5" customHeight="1">
      <x:c r="A41" s="14" t="str">
        <x:v>market_observation</x:v>
      </x:c>
      <x:c r="B41" s="14" t="str">
        <x:v>US-2018-FTC-CARTRIDGE-DISPOSABLE-REPORTED-SALES</x:v>
      </x:c>
      <x:c r="C41" s="14" t="str">
        <x:v>ftc_reported_cartridge_and_disposable_sales</x:v>
      </x:c>
      <x:c r="D41" s="14" t="str">
        <x:v>United States</x:v>
      </x:c>
      <x:c r="E41" s="14" t="n">
        <x:v>2018</x:v>
      </x:c>
      <x:c r="F41" s="14" t="str">
        <x:v>calendar_year</x:v>
      </x:c>
      <x:c r="G41" s="45" t="n">
        <x:v>2043703005</x:v>
      </x:c>
      <x:c r="H41" s="45" t="str">
        <x:v>USD</x:v>
      </x:c>
      <x:c r="I41" s="45" t="n">
        <x:v>1.1809545098039</x:v>
      </x:c>
      <x:c r="J41" s="45" t="n">
        <x:f>G41/I41</x:f>
        <x:v>1730551844.3207107</x:v>
      </x:c>
      <x:c r="K41" s="14" t="str">
        <x:v>ECB-EXR-A-USD-EUR-SP00-A-2018</x:v>
      </x:c>
      <x:c r="L41" s="14" t="str">
        <x:v>https://data-api.ecb.europa.eu/service/data/EXR/A.USD.EUR.SP00.A?startPeriod=2018&amp;endPeriod=2018&amp;format=csvdata</x:v>
      </x:c>
      <x:c r="M41" s="14" t="str">
        <x:v>computed</x:v>
      </x:c>
      <x:c r="N41" s="14" t="str">
        <x:v>original_amount_divided_by_ecb_annual_average</x:v>
      </x:c>
    </x:row>
    <x:row r="42" ht="25.5" customHeight="1">
      <x:c r="A42" s="14" t="str">
        <x:v>market_observation</x:v>
      </x:c>
      <x:c r="B42" s="14" t="str">
        <x:v>US-2019-FTC-CARTRIDGE-DISPOSABLE-REPORTED-SALES</x:v>
      </x:c>
      <x:c r="C42" s="14" t="str">
        <x:v>ftc_reported_cartridge_and_disposable_sales</x:v>
      </x:c>
      <x:c r="D42" s="14" t="str">
        <x:v>United States</x:v>
      </x:c>
      <x:c r="E42" s="14" t="n">
        <x:v>2019</x:v>
      </x:c>
      <x:c r="F42" s="14" t="str">
        <x:v>calendar_year</x:v>
      </x:c>
      <x:c r="G42" s="45" t="n">
        <x:v>2702608307</x:v>
      </x:c>
      <x:c r="H42" s="45" t="str">
        <x:v>USD</x:v>
      </x:c>
      <x:c r="I42" s="45" t="n">
        <x:v>1.1194745098039</x:v>
      </x:c>
      <x:c r="J42" s="45" t="n">
        <x:f>G42/I42</x:f>
        <x:v>2414175832.796246</x:v>
      </x:c>
      <x:c r="K42" s="14" t="str">
        <x:v>ECB-EXR-A-USD-EUR-SP00-A-2019</x:v>
      </x:c>
      <x:c r="L42" s="14" t="str">
        <x:v>https://data-api.ecb.europa.eu/service/data/EXR/A.USD.EUR.SP00.A?startPeriod=2019&amp;endPeriod=2019&amp;format=csvdata</x:v>
      </x:c>
      <x:c r="M42" s="14" t="str">
        <x:v>computed</x:v>
      </x:c>
      <x:c r="N42" s="14" t="str">
        <x:v>original_amount_divided_by_ecb_annual_average</x:v>
      </x:c>
    </x:row>
    <x:row r="43" ht="25.5" customHeight="1">
      <x:c r="A43" s="14" t="str">
        <x:v>market_observation</x:v>
      </x:c>
      <x:c r="B43" s="14" t="str">
        <x:v>US-2020-FTC-CARTRIDGE-DISPOSABLE-REPORTED-SALES</x:v>
      </x:c>
      <x:c r="C43" s="14" t="str">
        <x:v>ftc_reported_cartridge_and_disposable_sales</x:v>
      </x:c>
      <x:c r="D43" s="14" t="str">
        <x:v>United States</x:v>
      </x:c>
      <x:c r="E43" s="14" t="n">
        <x:v>2020</x:v>
      </x:c>
      <x:c r="F43" s="14" t="str">
        <x:v>calendar_year</x:v>
      </x:c>
      <x:c r="G43" s="45" t="n">
        <x:v>2394423105</x:v>
      </x:c>
      <x:c r="H43" s="45" t="str">
        <x:v>USD</x:v>
      </x:c>
      <x:c r="I43" s="45" t="n">
        <x:v>1.1421961089494</x:v>
      </x:c>
      <x:c r="J43" s="45" t="n">
        <x:f>G43/I43</x:f>
        <x:v>2096332745.523365</x:v>
      </x:c>
      <x:c r="K43" s="14" t="str">
        <x:v>ECB-EXR-A-USD-EUR-SP00-A-2020</x:v>
      </x:c>
      <x:c r="L43" s="14" t="str">
        <x:v>https://data-api.ecb.europa.eu/service/data/EXR/A.USD.EUR.SP00.A?startPeriod=2020&amp;endPeriod=2020&amp;format=csvdata</x:v>
      </x:c>
      <x:c r="M43" s="14" t="str">
        <x:v>computed</x:v>
      </x:c>
      <x:c r="N43" s="14" t="str">
        <x:v>original_amount_divided_by_ecb_annual_average</x:v>
      </x:c>
    </x:row>
    <x:row r="44" ht="25.5" customHeight="1">
      <x:c r="A44" s="14" t="str">
        <x:v>market_observation</x:v>
      </x:c>
      <x:c r="B44" s="14" t="str">
        <x:v>US-2021-FTC-CARTRIDGE-DISPOSABLE-REPORTED-SALES</x:v>
      </x:c>
      <x:c r="C44" s="14" t="str">
        <x:v>ftc_reported_cartridge_and_disposable_sales</x:v>
      </x:c>
      <x:c r="D44" s="14" t="str">
        <x:v>United States</x:v>
      </x:c>
      <x:c r="E44" s="14" t="n">
        <x:v>2021</x:v>
      </x:c>
      <x:c r="F44" s="14" t="str">
        <x:v>calendar_year</x:v>
      </x:c>
      <x:c r="G44" s="45" t="n">
        <x:v>2763284338</x:v>
      </x:c>
      <x:c r="H44" s="45" t="str">
        <x:v>USD</x:v>
      </x:c>
      <x:c r="I44" s="45" t="n">
        <x:v>1.1827403100775</x:v>
      </x:c>
      <x:c r="J44" s="45" t="n">
        <x:f>G44/I44</x:f>
        <x:v>2336340711.866778</x:v>
      </x:c>
      <x:c r="K44" s="14" t="str">
        <x:v>ECB-EXR-A-USD-EUR-SP00-A-2021</x:v>
      </x:c>
      <x:c r="L44" s="14" t="str">
        <x:v>https://data-api.ecb.europa.eu/service/data/EXR/A.USD.EUR.SP00.A?startPeriod=2021&amp;endPeriod=2021&amp;format=csvdata</x:v>
      </x:c>
      <x:c r="M44" s="14" t="str">
        <x:v>computed</x:v>
      </x:c>
      <x:c r="N44" s="14" t="str">
        <x:v>original_amount_divided_by_ecb_annual_average</x:v>
      </x:c>
    </x:row>
    <x:row r="45" ht="25.5" customHeight="1">
      <x:c r="A45" s="14" t="str">
        <x:v>market_observation</x:v>
      </x:c>
      <x:c r="B45" s="14" t="str">
        <x:v>NZ-2019-HES-E-CIGARETTES-AND-REFILLS-EXPENDITURE-NZD</x:v>
      </x:c>
      <x:c r="C45" s="14" t="str">
        <x:v>household_expenditure_estimate</x:v>
      </x:c>
      <x:c r="D45" s="14" t="str">
        <x:v>New Zealand</x:v>
      </x:c>
      <x:c r="E45" s="14" t="n">
        <x:v>2019</x:v>
      </x:c>
      <x:c r="F45" s="14" t="str">
        <x:v>year_ended_june</x:v>
      </x:c>
      <x:c r="G45" s="45" t="n">
        <x:v>42276000</x:v>
      </x:c>
      <x:c r="H45" s="45" t="str">
        <x:v>NZD</x:v>
      </x:c>
      <x:c r="I45" s="45"/>
      <x:c r="J45" s="45"/>
      <x:c r="K45" s="14"/>
      <x:c r="L45" s="14" t="str">
        <x:v>https://data.ecb.europa.eu/data/datasets/exr/data-information</x:v>
      </x:c>
      <x:c r="M45" s="14" t="str">
        <x:v>not_computed</x:v>
      </x:c>
      <x:c r="N45" s="14" t="str">
        <x:v>period_not_compatible_with_annual_average</x:v>
      </x:c>
    </x:row>
    <x:row r="46" ht="25.5" customHeight="1">
      <x:c r="A46" s="14" t="str">
        <x:v>market_observation</x:v>
      </x:c>
      <x:c r="B46" s="14" t="str">
        <x:v>NZ-2019-HES-E-CIGARETTE-DEVICES-EXPENDITURE-NZD</x:v>
      </x:c>
      <x:c r="C46" s="14" t="str">
        <x:v>household_expenditure_estimate</x:v>
      </x:c>
      <x:c r="D46" s="14" t="str">
        <x:v>New Zealand</x:v>
      </x:c>
      <x:c r="E46" s="14" t="n">
        <x:v>2019</x:v>
      </x:c>
      <x:c r="F46" s="14" t="str">
        <x:v>year_ended_june</x:v>
      </x:c>
      <x:c r="G46" s="45" t="n">
        <x:v>18034000</x:v>
      </x:c>
      <x:c r="H46" s="45" t="str">
        <x:v>NZD</x:v>
      </x:c>
      <x:c r="I46" s="45"/>
      <x:c r="J46" s="45"/>
      <x:c r="K46" s="14"/>
      <x:c r="L46" s="14" t="str">
        <x:v>https://data.ecb.europa.eu/data/datasets/exr/data-information</x:v>
      </x:c>
      <x:c r="M46" s="14" t="str">
        <x:v>not_computed</x:v>
      </x:c>
      <x:c r="N46" s="14" t="str">
        <x:v>period_not_compatible_with_annual_average</x:v>
      </x:c>
    </x:row>
    <x:row r="47" ht="25.5" customHeight="1">
      <x:c r="A47" s="14" t="str">
        <x:v>market_observation</x:v>
      </x:c>
      <x:c r="B47" s="14" t="str">
        <x:v>NZ-2019-HES-E-CIGARETTE-REFILLS-EXPENDITURE-NZD</x:v>
      </x:c>
      <x:c r="C47" s="14" t="str">
        <x:v>household_expenditure_estimate</x:v>
      </x:c>
      <x:c r="D47" s="14" t="str">
        <x:v>New Zealand</x:v>
      </x:c>
      <x:c r="E47" s="14" t="n">
        <x:v>2019</x:v>
      </x:c>
      <x:c r="F47" s="14" t="str">
        <x:v>year_ended_june</x:v>
      </x:c>
      <x:c r="G47" s="45" t="n">
        <x:v>24242000</x:v>
      </x:c>
      <x:c r="H47" s="45" t="str">
        <x:v>NZD</x:v>
      </x:c>
      <x:c r="I47" s="45"/>
      <x:c r="J47" s="45"/>
      <x:c r="K47" s="14"/>
      <x:c r="L47" s="14" t="str">
        <x:v>https://data.ecb.europa.eu/data/datasets/exr/data-information</x:v>
      </x:c>
      <x:c r="M47" s="14" t="str">
        <x:v>not_computed</x:v>
      </x:c>
      <x:c r="N47" s="14" t="str">
        <x:v>period_not_compatible_with_annual_average</x:v>
      </x:c>
    </x:row>
    <x:row r="48" ht="25.5" customHeight="1">
      <x:c r="A48" s="14" t="str">
        <x:v>market_observation</x:v>
      </x:c>
      <x:c r="B48" s="14" t="str">
        <x:v>NZ-2023-HES-E-CIGARETTES-AND-REFILLS-EXPENDITURE-NZD</x:v>
      </x:c>
      <x:c r="C48" s="14" t="str">
        <x:v>household_expenditure_estimate</x:v>
      </x:c>
      <x:c r="D48" s="14" t="str">
        <x:v>New Zealand</x:v>
      </x:c>
      <x:c r="E48" s="14" t="n">
        <x:v>2023</x:v>
      </x:c>
      <x:c r="F48" s="14" t="str">
        <x:v>year_ended_june</x:v>
      </x:c>
      <x:c r="G48" s="45" t="n">
        <x:v>186980000</x:v>
      </x:c>
      <x:c r="H48" s="45" t="str">
        <x:v>NZD</x:v>
      </x:c>
      <x:c r="I48" s="45"/>
      <x:c r="J48" s="45"/>
      <x:c r="K48" s="14"/>
      <x:c r="L48" s="14" t="str">
        <x:v>https://data.ecb.europa.eu/data/datasets/exr/data-information</x:v>
      </x:c>
      <x:c r="M48" s="14" t="str">
        <x:v>not_computed</x:v>
      </x:c>
      <x:c r="N48" s="14" t="str">
        <x:v>period_not_compatible_with_annual_average</x:v>
      </x:c>
    </x:row>
    <x:row r="49" ht="25.5" customHeight="1">
      <x:c r="A49" s="14" t="str">
        <x:v>market_observation</x:v>
      </x:c>
      <x:c r="B49" s="14" t="str">
        <x:v>NZ-2023-HES-E-CIGARETTE-DEVICES-EXPENDITURE-NZD</x:v>
      </x:c>
      <x:c r="C49" s="14" t="str">
        <x:v>household_expenditure_estimate</x:v>
      </x:c>
      <x:c r="D49" s="14" t="str">
        <x:v>New Zealand</x:v>
      </x:c>
      <x:c r="E49" s="14" t="n">
        <x:v>2023</x:v>
      </x:c>
      <x:c r="F49" s="14" t="str">
        <x:v>year_ended_june</x:v>
      </x:c>
      <x:c r="G49" s="45" t="n">
        <x:v>22488000</x:v>
      </x:c>
      <x:c r="H49" s="45" t="str">
        <x:v>NZD</x:v>
      </x:c>
      <x:c r="I49" s="45"/>
      <x:c r="J49" s="45"/>
      <x:c r="K49" s="14"/>
      <x:c r="L49" s="14" t="str">
        <x:v>https://data.ecb.europa.eu/data/datasets/exr/data-information</x:v>
      </x:c>
      <x:c r="M49" s="14" t="str">
        <x:v>not_computed</x:v>
      </x:c>
      <x:c r="N49" s="14" t="str">
        <x:v>period_not_compatible_with_annual_average</x:v>
      </x:c>
    </x:row>
    <x:row r="50" ht="25.5" customHeight="1">
      <x:c r="A50" s="14" t="str">
        <x:v>market_observation</x:v>
      </x:c>
      <x:c r="B50" s="14" t="str">
        <x:v>NZ-2023-HES-E-CIGARETTE-REFILLS-EXPENDITURE-NZD</x:v>
      </x:c>
      <x:c r="C50" s="14" t="str">
        <x:v>household_expenditure_estimate</x:v>
      </x:c>
      <x:c r="D50" s="14" t="str">
        <x:v>New Zealand</x:v>
      </x:c>
      <x:c r="E50" s="14" t="n">
        <x:v>2023</x:v>
      </x:c>
      <x:c r="F50" s="14" t="str">
        <x:v>year_ended_june</x:v>
      </x:c>
      <x:c r="G50" s="45" t="n">
        <x:v>164492000</x:v>
      </x:c>
      <x:c r="H50" s="45" t="str">
        <x:v>NZD</x:v>
      </x:c>
      <x:c r="I50" s="45"/>
      <x:c r="J50" s="45"/>
      <x:c r="K50" s="14"/>
      <x:c r="L50" s="14" t="str">
        <x:v>https://data.ecb.europa.eu/data/datasets/exr/data-information</x:v>
      </x:c>
      <x:c r="M50" s="14" t="str">
        <x:v>not_computed</x:v>
      </x:c>
      <x:c r="N50" s="14" t="str">
        <x:v>period_not_compatible_with_annual_average</x:v>
      </x:c>
    </x:row>
    <x:row r="51" ht="25.5" customHeight="1">
      <x:c r="A51" s="14" t="str">
        <x:v>market_observation</x:v>
      </x:c>
      <x:c r="B51" s="14" t="str">
        <x:v>CA-2021-HC-VAPING-MARKET-BENCHMARK</x:v>
      </x:c>
      <x:c r="C51" s="14" t="str">
        <x:v>institutional_market_value_benchmark</x:v>
      </x:c>
      <x:c r="D51" s="14" t="str">
        <x:v>Canada</x:v>
      </x:c>
      <x:c r="E51" s="14" t="n">
        <x:v>2021</x:v>
      </x:c>
      <x:c r="F51" s="14" t="str">
        <x:v>calendar_year</x:v>
      </x:c>
      <x:c r="G51" s="45" t="n">
        <x:v>2040000000</x:v>
      </x:c>
      <x:c r="H51" s="45" t="str">
        <x:v>CAD</x:v>
      </x:c>
      <x:c r="I51" s="45" t="n">
        <x:v>1.4825689922481</x:v>
      </x:c>
      <x:c r="J51" s="45" t="n">
        <x:f>G51/I51</x:f>
        <x:v>1375989927.3939602</x:v>
      </x:c>
      <x:c r="K51" s="14" t="str">
        <x:v>ECB-EXR-A-CAD-EUR-SP00-A-2021</x:v>
      </x:c>
      <x:c r="L51" s="14" t="str">
        <x:v>https://data-api.ecb.europa.eu/service/data/EXR/A.CAD.EUR.SP00.A?startPeriod=2021&amp;endPeriod=2021&amp;format=csvdata</x:v>
      </x:c>
      <x:c r="M51" s="14" t="str">
        <x:v>computed</x:v>
      </x:c>
      <x:c r="N51" s="14" t="str">
        <x:v>original_amount_divided_by_ecb_annual_average</x:v>
      </x:c>
    </x:row>
    <x:row r="52" ht="25.5" customHeight="1">
      <x:c r="A52" s="14" t="str">
        <x:v>market_observation</x:v>
      </x:c>
      <x:c r="B52" s="14" t="str">
        <x:v>CA-2021-HC-GAS-CONVENIENCE-VAPING-SALES-BENCHMARK</x:v>
      </x:c>
      <x:c r="C52" s="14" t="str">
        <x:v>institutional_channel_value_benchmark</x:v>
      </x:c>
      <x:c r="D52" s="14" t="str">
        <x:v>Canada</x:v>
      </x:c>
      <x:c r="E52" s="14" t="n">
        <x:v>2021</x:v>
      </x:c>
      <x:c r="F52" s="14" t="str">
        <x:v>calendar_year</x:v>
      </x:c>
      <x:c r="G52" s="45" t="n">
        <x:v>631000000</x:v>
      </x:c>
      <x:c r="H52" s="45" t="str">
        <x:v>CAD</x:v>
      </x:c>
      <x:c r="I52" s="45" t="n">
        <x:v>1.4825689922481</x:v>
      </x:c>
      <x:c r="J52" s="45" t="n">
        <x:f>G52/I52</x:f>
        <x:v>425612570.67921025</x:v>
      </x:c>
      <x:c r="K52" s="14" t="str">
        <x:v>ECB-EXR-A-CAD-EUR-SP00-A-2021</x:v>
      </x:c>
      <x:c r="L52" s="14" t="str">
        <x:v>https://data-api.ecb.europa.eu/service/data/EXR/A.CAD.EUR.SP00.A?startPeriod=2021&amp;endPeriod=2021&amp;format=csvdata</x:v>
      </x:c>
      <x:c r="M52" s="14" t="str">
        <x:v>computed</x:v>
      </x:c>
      <x:c r="N52" s="14" t="str">
        <x:v>original_amount_divided_by_ecb_annual_average</x:v>
      </x:c>
    </x:row>
    <x:row r="53" ht="25.5" customHeight="1">
      <x:c r="A53" s="14" t="str">
        <x:v>market_observation</x:v>
      </x:c>
      <x:c r="B53" s="14" t="str">
        <x:v>CA-2021-HC-ONLINE-VAPING-SALES-BENCHMARK</x:v>
      </x:c>
      <x:c r="C53" s="14" t="str">
        <x:v>institutional_channel_value_benchmark</x:v>
      </x:c>
      <x:c r="D53" s="14" t="str">
        <x:v>Canada</x:v>
      </x:c>
      <x:c r="E53" s="14" t="n">
        <x:v>2021</x:v>
      </x:c>
      <x:c r="F53" s="14" t="str">
        <x:v>calendar_year</x:v>
      </x:c>
      <x:c r="G53" s="45" t="n">
        <x:v>436000000</x:v>
      </x:c>
      <x:c r="H53" s="45" t="str">
        <x:v>CAD</x:v>
      </x:c>
      <x:c r="I53" s="45" t="n">
        <x:v>1.4825689922481</x:v>
      </x:c>
      <x:c r="J53" s="45" t="n">
        <x:f>G53/I53</x:f>
        <x:v>294084121.73714054</x:v>
      </x:c>
      <x:c r="K53" s="14" t="str">
        <x:v>ECB-EXR-A-CAD-EUR-SP00-A-2021</x:v>
      </x:c>
      <x:c r="L53" s="14" t="str">
        <x:v>https://data-api.ecb.europa.eu/service/data/EXR/A.CAD.EUR.SP00.A?startPeriod=2021&amp;endPeriod=2021&amp;format=csvdata</x:v>
      </x:c>
      <x:c r="M53" s="14" t="str">
        <x:v>computed</x:v>
      </x:c>
      <x:c r="N53" s="14" t="str">
        <x:v>original_amount_divided_by_ecb_annual_average</x:v>
      </x:c>
    </x:row>
    <x:row r="54" ht="25.5" customHeight="1">
      <x:c r="A54" s="14" t="str">
        <x:v>market_observation</x:v>
      </x:c>
      <x:c r="B54" s="14" t="str">
        <x:v>DE-2024-EUROSTAT-20595980-SOLD-PRODUCTION-EUR</x:v>
      </x:c>
      <x:c r="C54" s="14" t="str">
        <x:v>prodcom_20595980_sold_production_value</x:v>
      </x:c>
      <x:c r="D54" s="14" t="str">
        <x:v>Germany</x:v>
      </x:c>
      <x:c r="E54" s="14" t="n">
        <x:v>2024</x:v>
      </x:c>
      <x:c r="F54" s="14" t="str">
        <x:v>calendar_year</x:v>
      </x:c>
      <x:c r="G54" s="45" t="n">
        <x:v>39078000</x:v>
      </x:c>
      <x:c r="H54" s="45" t="str">
        <x:v>EUR</x:v>
      </x:c>
      <x:c r="I54" s="45" t="n">
        <x:v>1</x:v>
      </x:c>
      <x:c r="J54" s="45" t="n">
        <x:f>G54</x:f>
        <x:v>39078000</x:v>
      </x:c>
      <x:c r="K54" s="14" t="str">
        <x:v>EUR-IDENTITY</x:v>
      </x:c>
      <x:c r="L54" s="14" t="str">
        <x:v>https://www.ecb.europa.eu/stats/policy_and_exchange_rates/euro_reference_exchange_rates/html/index.en.html</x:v>
      </x:c>
      <x:c r="M54" s="14" t="str">
        <x:v>already_eur</x:v>
      </x:c>
      <x:c r="N54" s="14" t="str">
        <x:v>original_currency_already_eur</x:v>
      </x:c>
    </x:row>
    <x:row r="55" ht="25.5" customHeight="1">
      <x:c r="A55" s="14" t="str">
        <x:v>market_observation</x:v>
      </x:c>
      <x:c r="B55" s="14" t="str">
        <x:v>DE-2024-EUROSTAT-20595980-IMPORTS-EUR</x:v>
      </x:c>
      <x:c r="C55" s="14" t="str">
        <x:v>prodcom_20595980_import_value</x:v>
      </x:c>
      <x:c r="D55" s="14" t="str">
        <x:v>Germany</x:v>
      </x:c>
      <x:c r="E55" s="14" t="n">
        <x:v>2024</x:v>
      </x:c>
      <x:c r="F55" s="14" t="str">
        <x:v>calendar_year</x:v>
      </x:c>
      <x:c r="G55" s="45" t="n">
        <x:v>400843037</x:v>
      </x:c>
      <x:c r="H55" s="45" t="str">
        <x:v>EUR</x:v>
      </x:c>
      <x:c r="I55" s="45" t="n">
        <x:v>1</x:v>
      </x:c>
      <x:c r="J55" s="45" t="n">
        <x:f>G55</x:f>
        <x:v>400843037</x:v>
      </x:c>
      <x:c r="K55" s="14" t="str">
        <x:v>EUR-IDENTITY</x:v>
      </x:c>
      <x:c r="L55" s="14" t="str">
        <x:v>https://www.ecb.europa.eu/stats/policy_and_exchange_rates/euro_reference_exchange_rates/html/index.en.html</x:v>
      </x:c>
      <x:c r="M55" s="14" t="str">
        <x:v>already_eur</x:v>
      </x:c>
      <x:c r="N55" s="14" t="str">
        <x:v>original_currency_already_eur</x:v>
      </x:c>
    </x:row>
    <x:row r="56" ht="25.5" customHeight="1">
      <x:c r="A56" s="14" t="str">
        <x:v>market_observation</x:v>
      </x:c>
      <x:c r="B56" s="14" t="str">
        <x:v>DE-2024-EUROSTAT-20595980-EXPORTS-EUR</x:v>
      </x:c>
      <x:c r="C56" s="14" t="str">
        <x:v>prodcom_20595980_export_value</x:v>
      </x:c>
      <x:c r="D56" s="14" t="str">
        <x:v>Germany</x:v>
      </x:c>
      <x:c r="E56" s="14" t="n">
        <x:v>2024</x:v>
      </x:c>
      <x:c r="F56" s="14" t="str">
        <x:v>calendar_year</x:v>
      </x:c>
      <x:c r="G56" s="45" t="n">
        <x:v>120676188</x:v>
      </x:c>
      <x:c r="H56" s="45" t="str">
        <x:v>EUR</x:v>
      </x:c>
      <x:c r="I56" s="45" t="n">
        <x:v>1</x:v>
      </x:c>
      <x:c r="J56" s="45" t="n">
        <x:f>G56</x:f>
        <x:v>120676188</x:v>
      </x:c>
      <x:c r="K56" s="14" t="str">
        <x:v>EUR-IDENTITY</x:v>
      </x:c>
      <x:c r="L56" s="14" t="str">
        <x:v>https://www.ecb.europa.eu/stats/policy_and_exchange_rates/euro_reference_exchange_rates/html/index.en.html</x:v>
      </x:c>
      <x:c r="M56" s="14" t="str">
        <x:v>already_eur</x:v>
      </x:c>
      <x:c r="N56" s="14" t="str">
        <x:v>original_currency_already_eur</x:v>
      </x:c>
    </x:row>
    <x:row r="57" ht="25.5" customHeight="1">
      <x:c r="A57" s="14" t="str">
        <x:v>market_observation</x:v>
      </x:c>
      <x:c r="B57" s="14" t="str">
        <x:v>DE-2024-EUROSTAT-27901152-SOLD-PRODUCTION-EUR</x:v>
      </x:c>
      <x:c r="C57" s="14" t="str">
        <x:v>prodcom_27901152_sold_production_value</x:v>
      </x:c>
      <x:c r="D57" s="14" t="str">
        <x:v>Germany</x:v>
      </x:c>
      <x:c r="E57" s="14" t="n">
        <x:v>2024</x:v>
      </x:c>
      <x:c r="F57" s="14" t="str">
        <x:v>calendar_year</x:v>
      </x:c>
      <x:c r="G57" s="45" t="n">
        <x:v>99890000</x:v>
      </x:c>
      <x:c r="H57" s="45" t="str">
        <x:v>EUR</x:v>
      </x:c>
      <x:c r="I57" s="45" t="n">
        <x:v>1</x:v>
      </x:c>
      <x:c r="J57" s="45" t="n">
        <x:f>G57</x:f>
        <x:v>99890000</x:v>
      </x:c>
      <x:c r="K57" s="14" t="str">
        <x:v>EUR-IDENTITY</x:v>
      </x:c>
      <x:c r="L57" s="14" t="str">
        <x:v>https://www.ecb.europa.eu/stats/policy_and_exchange_rates/euro_reference_exchange_rates/html/index.en.html</x:v>
      </x:c>
      <x:c r="M57" s="14" t="str">
        <x:v>already_eur</x:v>
      </x:c>
      <x:c r="N57" s="14" t="str">
        <x:v>original_currency_already_eur</x:v>
      </x:c>
    </x:row>
    <x:row r="58" ht="25.5" customHeight="1">
      <x:c r="A58" s="14" t="str">
        <x:v>market_observation</x:v>
      </x:c>
      <x:c r="B58" s="14" t="str">
        <x:v>DE-2024-EUROSTAT-27901152-IMPORTS-EUR</x:v>
      </x:c>
      <x:c r="C58" s="14" t="str">
        <x:v>prodcom_27901152_import_value</x:v>
      </x:c>
      <x:c r="D58" s="14" t="str">
        <x:v>Germany</x:v>
      </x:c>
      <x:c r="E58" s="14" t="n">
        <x:v>2024</x:v>
      </x:c>
      <x:c r="F58" s="14" t="str">
        <x:v>calendar_year</x:v>
      </x:c>
      <x:c r="G58" s="45" t="n">
        <x:v>490580247</x:v>
      </x:c>
      <x:c r="H58" s="45" t="str">
        <x:v>EUR</x:v>
      </x:c>
      <x:c r="I58" s="45" t="n">
        <x:v>1</x:v>
      </x:c>
      <x:c r="J58" s="45" t="n">
        <x:f>G58</x:f>
        <x:v>490580247</x:v>
      </x:c>
      <x:c r="K58" s="14" t="str">
        <x:v>EUR-IDENTITY</x:v>
      </x:c>
      <x:c r="L58" s="14" t="str">
        <x:v>https://www.ecb.europa.eu/stats/policy_and_exchange_rates/euro_reference_exchange_rates/html/index.en.html</x:v>
      </x:c>
      <x:c r="M58" s="14" t="str">
        <x:v>already_eur</x:v>
      </x:c>
      <x:c r="N58" s="14" t="str">
        <x:v>original_currency_already_eur</x:v>
      </x:c>
    </x:row>
    <x:row r="59" ht="25.5" customHeight="1">
      <x:c r="A59" s="14" t="str">
        <x:v>market_observation</x:v>
      </x:c>
      <x:c r="B59" s="14" t="str">
        <x:v>DE-2024-EUROSTAT-27901152-EXPORTS-EUR</x:v>
      </x:c>
      <x:c r="C59" s="14" t="str">
        <x:v>prodcom_27901152_export_value</x:v>
      </x:c>
      <x:c r="D59" s="14" t="str">
        <x:v>Germany</x:v>
      </x:c>
      <x:c r="E59" s="14" t="n">
        <x:v>2024</x:v>
      </x:c>
      <x:c r="F59" s="14" t="str">
        <x:v>calendar_year</x:v>
      </x:c>
      <x:c r="G59" s="45" t="n">
        <x:v>301380538</x:v>
      </x:c>
      <x:c r="H59" s="45" t="str">
        <x:v>EUR</x:v>
      </x:c>
      <x:c r="I59" s="45" t="n">
        <x:v>1</x:v>
      </x:c>
      <x:c r="J59" s="45" t="n">
        <x:f>G59</x:f>
        <x:v>301380538</x:v>
      </x:c>
      <x:c r="K59" s="14" t="str">
        <x:v>EUR-IDENTITY</x:v>
      </x:c>
      <x:c r="L59" s="14" t="str">
        <x:v>https://www.ecb.europa.eu/stats/policy_and_exchange_rates/euro_reference_exchange_rates/html/index.en.html</x:v>
      </x:c>
      <x:c r="M59" s="14" t="str">
        <x:v>already_eur</x:v>
      </x:c>
      <x:c r="N59" s="14" t="str">
        <x:v>original_currency_already_eur</x:v>
      </x:c>
    </x:row>
    <x:row r="60" ht="25.5" customHeight="1">
      <x:c r="A60" s="14" t="str">
        <x:v>market_observation</x:v>
      </x:c>
      <x:c r="B60" s="14" t="str">
        <x:v>DE-2024-EUROSTAT-20595980-APPARENT-SUPPLY-EUR</x:v>
      </x:c>
      <x:c r="C60" s="14" t="str">
        <x:v>prodcom_20595980_apparent_supply_value</x:v>
      </x:c>
      <x:c r="D60" s="14" t="str">
        <x:v>Germany</x:v>
      </x:c>
      <x:c r="E60" s="14" t="n">
        <x:v>2024</x:v>
      </x:c>
      <x:c r="F60" s="14" t="str">
        <x:v>calendar_year</x:v>
      </x:c>
      <x:c r="G60" s="45" t="n">
        <x:v>319244849</x:v>
      </x:c>
      <x:c r="H60" s="45" t="str">
        <x:v>EUR</x:v>
      </x:c>
      <x:c r="I60" s="45" t="n">
        <x:v>1</x:v>
      </x:c>
      <x:c r="J60" s="45" t="n">
        <x:f>G60</x:f>
        <x:v>319244849</x:v>
      </x:c>
      <x:c r="K60" s="14" t="str">
        <x:v>EUR-IDENTITY</x:v>
      </x:c>
      <x:c r="L60" s="14" t="str">
        <x:v>https://www.ecb.europa.eu/stats/policy_and_exchange_rates/euro_reference_exchange_rates/html/index.en.html</x:v>
      </x:c>
      <x:c r="M60" s="14" t="str">
        <x:v>already_eur</x:v>
      </x:c>
      <x:c r="N60" s="14" t="str">
        <x:v>original_currency_already_eur</x:v>
      </x:c>
    </x:row>
    <x:row r="61" ht="25.5" customHeight="1">
      <x:c r="A61" s="14" t="str">
        <x:v>market_observation</x:v>
      </x:c>
      <x:c r="B61" s="14" t="str">
        <x:v>DE-2024-EUROSTAT-27901152-APPARENT-SUPPLY-EUR</x:v>
      </x:c>
      <x:c r="C61" s="14" t="str">
        <x:v>prodcom_27901152_apparent_supply_value</x:v>
      </x:c>
      <x:c r="D61" s="14" t="str">
        <x:v>Germany</x:v>
      </x:c>
      <x:c r="E61" s="14" t="n">
        <x:v>2024</x:v>
      </x:c>
      <x:c r="F61" s="14" t="str">
        <x:v>calendar_year</x:v>
      </x:c>
      <x:c r="G61" s="45" t="n">
        <x:v>289089709</x:v>
      </x:c>
      <x:c r="H61" s="45" t="str">
        <x:v>EUR</x:v>
      </x:c>
      <x:c r="I61" s="45" t="n">
        <x:v>1</x:v>
      </x:c>
      <x:c r="J61" s="45" t="n">
        <x:f>G61</x:f>
        <x:v>289089709</x:v>
      </x:c>
      <x:c r="K61" s="14" t="str">
        <x:v>EUR-IDENTITY</x:v>
      </x:c>
      <x:c r="L61" s="14" t="str">
        <x:v>https://www.ecb.europa.eu/stats/policy_and_exchange_rates/euro_reference_exchange_rates/html/index.en.html</x:v>
      </x:c>
      <x:c r="M61" s="14" t="str">
        <x:v>already_eur</x:v>
      </x:c>
      <x:c r="N61" s="14" t="str">
        <x:v>original_currency_already_eur</x:v>
      </x:c>
    </x:row>
    <x:row r="62" ht="25.5" customHeight="1">
      <x:c r="A62" s="14" t="str">
        <x:v>market_observation</x:v>
      </x:c>
      <x:c r="B62" s="14" t="str">
        <x:v>DE-2024-EUROSTAT-COMBINED-APPARENT-SUPPLY-EUR</x:v>
      </x:c>
      <x:c r="C62" s="14" t="str">
        <x:v>combined_prodcom_apparent_supply_value</x:v>
      </x:c>
      <x:c r="D62" s="14" t="str">
        <x:v>Germany</x:v>
      </x:c>
      <x:c r="E62" s="14" t="n">
        <x:v>2024</x:v>
      </x:c>
      <x:c r="F62" s="14" t="str">
        <x:v>calendar_year</x:v>
      </x:c>
      <x:c r="G62" s="45" t="n">
        <x:v>608334558</x:v>
      </x:c>
      <x:c r="H62" s="45" t="str">
        <x:v>EUR</x:v>
      </x:c>
      <x:c r="I62" s="45" t="n">
        <x:v>1</x:v>
      </x:c>
      <x:c r="J62" s="45" t="n">
        <x:f>G62</x:f>
        <x:v>608334558</x:v>
      </x:c>
      <x:c r="K62" s="14" t="str">
        <x:v>EUR-IDENTITY</x:v>
      </x:c>
      <x:c r="L62" s="14" t="str">
        <x:v>https://www.ecb.europa.eu/stats/policy_and_exchange_rates/euro_reference_exchange_rates/html/index.en.html</x:v>
      </x:c>
      <x:c r="M62" s="14" t="str">
        <x:v>already_eur</x:v>
      </x:c>
      <x:c r="N62" s="14" t="str">
        <x:v>original_currency_already_eur</x:v>
      </x:c>
    </x:row>
    <x:row r="63" ht="25.5" customHeight="1">
      <x:c r="A63" s="14" t="str">
        <x:v>market_observation</x:v>
      </x:c>
      <x:c r="B63" s="14" t="str">
        <x:v>DE-2024-EUROSTAT-APPARENT-SUPPLY-EXCISE-VAT-BRIDGE-EUR</x:v>
      </x:c>
      <x:c r="C63" s="14" t="str">
        <x:v>mechanical_apparent_supply_excise_vat_bridge</x:v>
      </x:c>
      <x:c r="D63" s="14" t="str">
        <x:v>Germany</x:v>
      </x:c>
      <x:c r="E63" s="14" t="n">
        <x:v>2024</x:v>
      </x:c>
      <x:c r="F63" s="14" t="str">
        <x:v>calendar_year</x:v>
      </x:c>
      <x:c r="G63" s="45" t="n">
        <x:v>1040458124.02</x:v>
      </x:c>
      <x:c r="H63" s="45" t="str">
        <x:v>EUR</x:v>
      </x:c>
      <x:c r="I63" s="45" t="n">
        <x:v>1</x:v>
      </x:c>
      <x:c r="J63" s="45" t="n">
        <x:f>G63</x:f>
        <x:v>1040458124.02</x:v>
      </x:c>
      <x:c r="K63" s="14" t="str">
        <x:v>EUR-IDENTITY</x:v>
      </x:c>
      <x:c r="L63" s="14" t="str">
        <x:v>https://www.ecb.europa.eu/stats/policy_and_exchange_rates/euro_reference_exchange_rates/html/index.en.html</x:v>
      </x:c>
      <x:c r="M63" s="14" t="str">
        <x:v>already_eur</x:v>
      </x:c>
      <x:c r="N63" s="14" t="str">
        <x:v>original_currency_already_eur</x:v>
      </x:c>
    </x:row>
    <x:row r="64" ht="25.5" customHeight="1">
      <x:c r="A64" s="14" t="str">
        <x:v>market_observation</x:v>
      </x:c>
      <x:c r="B64" s="14" t="str">
        <x:v>PL-2023-CMR-DISPOSABLE-E-CIGARETTE-RETAIL-SALES-VALUE</x:v>
      </x:c>
      <x:c r="C64" s="14" t="str">
        <x:v>commercial_disposable_e_cigarette_retail_sales_value</x:v>
      </x:c>
      <x:c r="D64" s="14" t="str">
        <x:v>Poland</x:v>
      </x:c>
      <x:c r="E64" s="14" t="n">
        <x:v>2023</x:v>
      </x:c>
      <x:c r="F64" s="14" t="str">
        <x:v>calendar_year</x:v>
      </x:c>
      <x:c r="G64" s="45" t="n">
        <x:v>2000000000</x:v>
      </x:c>
      <x:c r="H64" s="45" t="str">
        <x:v>PLN</x:v>
      </x:c>
      <x:c r="I64" s="45" t="n">
        <x:v>4.5419658823529</x:v>
      </x:c>
      <x:c r="J64" s="45" t="n">
        <x:f>G64/I64</x:f>
        <x:v>440337961.9760439</x:v>
      </x:c>
      <x:c r="K64" s="14" t="str">
        <x:v>ECB-EXR-A-PLN-EUR-SP00-A-2023</x:v>
      </x:c>
      <x:c r="L64" s="14" t="str">
        <x:v>https://data-api.ecb.europa.eu/service/data/EXR/A.PLN.EUR.SP00.A?startPeriod=2023&amp;endPeriod=2023&amp;format=csvdata</x:v>
      </x:c>
      <x:c r="M64" s="14" t="str">
        <x:v>computed</x:v>
      </x:c>
      <x:c r="N64" s="14" t="str">
        <x:v>original_amount_divided_by_ecb_annual_average</x:v>
      </x:c>
    </x:row>
    <x:row r="65" ht="25.5" customHeight="1">
      <x:c r="A65" s="14" t="str">
        <x:v>market_observation</x:v>
      </x:c>
      <x:c r="B65" s="14" t="str">
        <x:v>ES-2025-AEAT-M573-ALL-EPIGRAPHS-ACCRUED-EXCISE-LIABILITY-EUR</x:v>
      </x:c>
      <x:c r="C65" s="14" t="str">
        <x:v>accrued_excise_liability</x:v>
      </x:c>
      <x:c r="D65" s="14" t="str">
        <x:v>Spain</x:v>
      </x:c>
      <x:c r="E65" s="14" t="n">
        <x:v>2025</x:v>
      </x:c>
      <x:c r="F65" s="14" t="str">
        <x:v>calendar_year</x:v>
      </x:c>
      <x:c r="G65" s="45" t="n">
        <x:v>36151000</x:v>
      </x:c>
      <x:c r="H65" s="45" t="str">
        <x:v>EUR</x:v>
      </x:c>
      <x:c r="I65" s="45" t="n">
        <x:v>1</x:v>
      </x:c>
      <x:c r="J65" s="45" t="n">
        <x:f>G65</x:f>
        <x:v>36151000</x:v>
      </x:c>
      <x:c r="K65" s="14" t="str">
        <x:v>EUR-IDENTITY</x:v>
      </x:c>
      <x:c r="L65" s="14" t="str">
        <x:v>https://www.ecb.europa.eu/stats/policy_and_exchange_rates/euro_reference_exchange_rates/html/index.en.html</x:v>
      </x:c>
      <x:c r="M65" s="14" t="str">
        <x:v>already_eur</x:v>
      </x:c>
      <x:c r="N65" s="14" t="str">
        <x:v>original_currency_already_eur</x:v>
      </x:c>
    </x:row>
    <x:row r="66" ht="25.5" customHeight="1">
      <x:c r="A66" s="14" t="str">
        <x:v>market_observation</x:v>
      </x:c>
      <x:c r="B66" s="14" t="str">
        <x:v>ES-2025-AEAT-M573-ALL-EPIGRAPHS-GROSS-CASH-RECEIPTS-EUR</x:v>
      </x:c>
      <x:c r="C66" s="14" t="str">
        <x:v>gross_excise_cash_receipts</x:v>
      </x:c>
      <x:c r="D66" s="14" t="str">
        <x:v>Spain</x:v>
      </x:c>
      <x:c r="E66" s="14" t="n">
        <x:v>2025</x:v>
      </x:c>
      <x:c r="F66" s="14" t="str">
        <x:v>calendar_year</x:v>
      </x:c>
      <x:c r="G66" s="45" t="n">
        <x:v>31797000</x:v>
      </x:c>
      <x:c r="H66" s="45" t="str">
        <x:v>EUR</x:v>
      </x:c>
      <x:c r="I66" s="45" t="n">
        <x:v>1</x:v>
      </x:c>
      <x:c r="J66" s="45" t="n">
        <x:f>G66</x:f>
        <x:v>31797000</x:v>
      </x:c>
      <x:c r="K66" s="14" t="str">
        <x:v>EUR-IDENTITY</x:v>
      </x:c>
      <x:c r="L66" s="14" t="str">
        <x:v>https://www.ecb.europa.eu/stats/policy_and_exchange_rates/euro_reference_exchange_rates/html/index.en.html</x:v>
      </x:c>
      <x:c r="M66" s="14" t="str">
        <x:v>already_eur</x:v>
      </x:c>
      <x:c r="N66" s="14" t="str">
        <x:v>original_currency_already_eur</x:v>
      </x:c>
    </x:row>
    <x:row r="67" ht="25.5" customHeight="1">
      <x:c r="A67" s="14" t="str">
        <x:v>market_observation</x:v>
      </x:c>
      <x:c r="B67" s="14" t="str">
        <x:v>ES-2025-AEAT-M573-ALL-EPIGRAPHS-NET-CASH-RECEIPTS-EUR</x:v>
      </x:c>
      <x:c r="C67" s="14" t="str">
        <x:v>net_excise_cash_receipts</x:v>
      </x:c>
      <x:c r="D67" s="14" t="str">
        <x:v>Spain</x:v>
      </x:c>
      <x:c r="E67" s="14" t="n">
        <x:v>2025</x:v>
      </x:c>
      <x:c r="F67" s="14" t="str">
        <x:v>calendar_year</x:v>
      </x:c>
      <x:c r="G67" s="45" t="n">
        <x:v>29568000</x:v>
      </x:c>
      <x:c r="H67" s="45" t="str">
        <x:v>EUR</x:v>
      </x:c>
      <x:c r="I67" s="45" t="n">
        <x:v>1</x:v>
      </x:c>
      <x:c r="J67" s="45" t="n">
        <x:f>G67</x:f>
        <x:v>29568000</x:v>
      </x:c>
      <x:c r="K67" s="14" t="str">
        <x:v>EUR-IDENTITY</x:v>
      </x:c>
      <x:c r="L67" s="14" t="str">
        <x:v>https://www.ecb.europa.eu/stats/policy_and_exchange_rates/euro_reference_exchange_rates/html/index.en.html</x:v>
      </x:c>
      <x:c r="M67" s="14" t="str">
        <x:v>already_eur</x:v>
      </x:c>
      <x:c r="N67" s="14" t="str">
        <x:v>original_currency_already_eur</x:v>
      </x:c>
    </x:row>
    <x:row r="68" ht="25.5" customHeight="1">
      <x:c r="A68" s="14" t="str">
        <x:v>market_observation</x:v>
      </x:c>
      <x:c r="B68" s="14" t="str">
        <x:v>ES-2026-H1-AEAT-M573-ALL-EPIGRAPHS-GROSS-CASH-RECEIPTS-EUR</x:v>
      </x:c>
      <x:c r="C68" s="14" t="str">
        <x:v>gross_excise_cash_receipts</x:v>
      </x:c>
      <x:c r="D68" s="14" t="str">
        <x:v>Spain</x:v>
      </x:c>
      <x:c r="E68" s="14" t="n">
        <x:v>2026</x:v>
      </x:c>
      <x:c r="F68" s="14" t="str">
        <x:v>2026_h1</x:v>
      </x:c>
      <x:c r="G68" s="45" t="n">
        <x:v>25726000</x:v>
      </x:c>
      <x:c r="H68" s="45" t="str">
        <x:v>EUR</x:v>
      </x:c>
      <x:c r="I68" s="45" t="n">
        <x:v>1</x:v>
      </x:c>
      <x:c r="J68" s="45" t="n">
        <x:f>G68</x:f>
        <x:v>25726000</x:v>
      </x:c>
      <x:c r="K68" s="14" t="str">
        <x:v>EUR-IDENTITY</x:v>
      </x:c>
      <x:c r="L68" s="14" t="str">
        <x:v>https://www.ecb.europa.eu/stats/policy_and_exchange_rates/euro_reference_exchange_rates/html/index.en.html</x:v>
      </x:c>
      <x:c r="M68" s="14" t="str">
        <x:v>already_eur</x:v>
      </x:c>
      <x:c r="N68" s="14" t="str">
        <x:v>original_currency_already_eur</x:v>
      </x:c>
    </x:row>
    <x:row r="69" ht="25.5" customHeight="1">
      <x:c r="A69" s="14" t="str">
        <x:v>market_observation</x:v>
      </x:c>
      <x:c r="B69" s="14" t="str">
        <x:v>ES-2026-H1-AEAT-M573-ALL-EPIGRAPHS-NET-CASH-RECEIPTS-EUR</x:v>
      </x:c>
      <x:c r="C69" s="14" t="str">
        <x:v>net_excise_cash_receipts</x:v>
      </x:c>
      <x:c r="D69" s="14" t="str">
        <x:v>Spain</x:v>
      </x:c>
      <x:c r="E69" s="14" t="n">
        <x:v>2026</x:v>
      </x:c>
      <x:c r="F69" s="14" t="str">
        <x:v>2026_h1</x:v>
      </x:c>
      <x:c r="G69" s="45" t="n">
        <x:v>21776000</x:v>
      </x:c>
      <x:c r="H69" s="45" t="str">
        <x:v>EUR</x:v>
      </x:c>
      <x:c r="I69" s="45" t="n">
        <x:v>1</x:v>
      </x:c>
      <x:c r="J69" s="45" t="n">
        <x:f>G69</x:f>
        <x:v>21776000</x:v>
      </x:c>
      <x:c r="K69" s="14" t="str">
        <x:v>EUR-IDENTITY</x:v>
      </x:c>
      <x:c r="L69" s="14" t="str">
        <x:v>https://www.ecb.europa.eu/stats/policy_and_exchange_rates/euro_reference_exchange_rates/html/index.en.html</x:v>
      </x:c>
      <x:c r="M69" s="14" t="str">
        <x:v>already_eur</x:v>
      </x:c>
      <x:c r="N69" s="14" t="str">
        <x:v>original_currency_already_eur</x:v>
      </x:c>
    </x:row>
    <x:row r="70" ht="25.5" customHeight="1">
      <x:c r="A70" s="14" t="str">
        <x:v>market_observation</x:v>
      </x:c>
      <x:c r="B70" s="14" t="str">
        <x:v>JP-2022-854340000-E-CIGARETTE-DEVICE-IMPORT-CIF-VALUE-JPY</x:v>
      </x:c>
      <x:c r="C70" s="14" t="str">
        <x:v>e_cigarette_device_customs_import_cif_value</x:v>
      </x:c>
      <x:c r="D70" s="14" t="str">
        <x:v>Japan</x:v>
      </x:c>
      <x:c r="E70" s="14" t="n">
        <x:v>2022</x:v>
      </x:c>
      <x:c r="F70" s="14" t="str">
        <x:v>calendar_year</x:v>
      </x:c>
      <x:c r="G70" s="45" t="n">
        <x:v>70257202000</x:v>
      </x:c>
      <x:c r="H70" s="45" t="str">
        <x:v>JPY</x:v>
      </x:c>
      <x:c r="I70" s="45" t="n">
        <x:v>138.027392996109</x:v>
      </x:c>
      <x:c r="J70" s="45" t="n">
        <x:f>G70/I70</x:f>
        <x:v>509009121.12409854</x:v>
      </x:c>
      <x:c r="K70" s="14" t="str">
        <x:v>ECB-EXR-A-JPY-EUR-SP00-A-2022</x:v>
      </x:c>
      <x:c r="L70" s="14" t="str">
        <x:v>https://data-api.ecb.europa.eu/service/data/EXR/A.JPY.EUR.SP00.A?startPeriod=2022&amp;endPeriod=2022&amp;format=csvdata</x:v>
      </x:c>
      <x:c r="M70" s="14" t="str">
        <x:v>computed</x:v>
      </x:c>
      <x:c r="N70" s="14" t="str">
        <x:v>original_amount_divided_by_ecb_annual_average</x:v>
      </x:c>
    </x:row>
    <x:row r="71" ht="25.5" customHeight="1">
      <x:c r="A71" s="14" t="str">
        <x:v>market_observation</x:v>
      </x:c>
      <x:c r="B71" s="14" t="str">
        <x:v>JP-2023-854340000-E-CIGARETTE-DEVICE-IMPORT-CIF-VALUE-JPY</x:v>
      </x:c>
      <x:c r="C71" s="14" t="str">
        <x:v>e_cigarette_device_customs_import_cif_value</x:v>
      </x:c>
      <x:c r="D71" s="14" t="str">
        <x:v>Japan</x:v>
      </x:c>
      <x:c r="E71" s="14" t="n">
        <x:v>2023</x:v>
      </x:c>
      <x:c r="F71" s="14" t="str">
        <x:v>calendar_year</x:v>
      </x:c>
      <x:c r="G71" s="45" t="n">
        <x:v>70496284000</x:v>
      </x:c>
      <x:c r="H71" s="45" t="str">
        <x:v>JPY</x:v>
      </x:c>
      <x:c r="I71" s="45" t="n">
        <x:v>151.9902745098038</x:v>
      </x:c>
      <x:c r="J71" s="45" t="n">
        <x:f>G71/I71</x:f>
        <x:v>463821018.99192756</x:v>
      </x:c>
      <x:c r="K71" s="14" t="str">
        <x:v>ECB-EXR-A-JPY-EUR-SP00-A-2023</x:v>
      </x:c>
      <x:c r="L71" s="14" t="str">
        <x:v>https://data-api.ecb.europa.eu/service/data/EXR/A.JPY.EUR.SP00.A?startPeriod=2023&amp;endPeriod=2023&amp;format=csvdata</x:v>
      </x:c>
      <x:c r="M71" s="14" t="str">
        <x:v>computed</x:v>
      </x:c>
      <x:c r="N71" s="14" t="str">
        <x:v>original_amount_divided_by_ecb_annual_average</x:v>
      </x:c>
    </x:row>
    <x:row r="72" ht="25.5" customHeight="1">
      <x:c r="A72" s="14" t="str">
        <x:v>market_observation</x:v>
      </x:c>
      <x:c r="B72" s="14" t="str">
        <x:v>JP-2024-854340000-E-CIGARETTE-DEVICE-IMPORT-CIF-VALUE-JPY</x:v>
      </x:c>
      <x:c r="C72" s="14" t="str">
        <x:v>e_cigarette_device_customs_import_cif_value</x:v>
      </x:c>
      <x:c r="D72" s="14" t="str">
        <x:v>Japan</x:v>
      </x:c>
      <x:c r="E72" s="14" t="n">
        <x:v>2024</x:v>
      </x:c>
      <x:c r="F72" s="14" t="str">
        <x:v>calendar_year</x:v>
      </x:c>
      <x:c r="G72" s="45" t="n">
        <x:v>74526020000</x:v>
      </x:c>
      <x:c r="H72" s="45" t="str">
        <x:v>JPY</x:v>
      </x:c>
      <x:c r="I72" s="45" t="n">
        <x:v>163.8519140625</x:v>
      </x:c>
      <x:c r="J72" s="45" t="n">
        <x:f>G72/I72</x:f>
        <x:v>454837652.80625683</x:v>
      </x:c>
      <x:c r="K72" s="14" t="str">
        <x:v>ECB-EXR-A-JPY-EUR-SP00-A-2024</x:v>
      </x:c>
      <x:c r="L72" s="14" t="str">
        <x:v>https://data-api.ecb.europa.eu/service/data/EXR/A.JPY.EUR.SP00.A?startPeriod=2024&amp;endPeriod=2024&amp;format=csvdata</x:v>
      </x:c>
      <x:c r="M72" s="14" t="str">
        <x:v>computed</x:v>
      </x:c>
      <x:c r="N72" s="14" t="str">
        <x:v>original_amount_divided_by_ecb_annual_average</x:v>
      </x:c>
    </x:row>
    <x:row r="73" ht="25.5" customHeight="1">
      <x:c r="A73" s="14" t="str">
        <x:v>market_observation</x:v>
      </x:c>
      <x:c r="B73" s="14" t="str">
        <x:v>JP-2025-854340000-E-CIGARETTE-DEVICE-IMPORT-CIF-VALUE-JPY</x:v>
      </x:c>
      <x:c r="C73" s="14" t="str">
        <x:v>e_cigarette_device_customs_import_cif_value</x:v>
      </x:c>
      <x:c r="D73" s="14" t="str">
        <x:v>Japan</x:v>
      </x:c>
      <x:c r="E73" s="14" t="n">
        <x:v>2025</x:v>
      </x:c>
      <x:c r="F73" s="14" t="str">
        <x:v>calendar_year</x:v>
      </x:c>
      <x:c r="G73" s="45" t="n">
        <x:v>84361341000</x:v>
      </x:c>
      <x:c r="H73" s="45" t="str">
        <x:v>JPY</x:v>
      </x:c>
      <x:c r="I73" s="45" t="n">
        <x:v>169.0434509803921</x:v>
      </x:c>
      <x:c r="J73" s="45" t="n">
        <x:f>G73/I73</x:f>
        <x:v>499051223.2845113</x:v>
      </x:c>
      <x:c r="K73" s="14" t="str">
        <x:v>ECB-EXR-A-JPY-EUR-SP00-A-2025</x:v>
      </x:c>
      <x:c r="L73" s="14" t="str">
        <x:v>https://data-api.ecb.europa.eu/service/data/EXR/A.JPY.EUR.SP00.A?startPeriod=2025&amp;endPeriod=2025&amp;format=csvdata</x:v>
      </x:c>
      <x:c r="M73" s="14" t="str">
        <x:v>computed</x:v>
      </x:c>
      <x:c r="N73" s="14" t="str">
        <x:v>original_amount_divided_by_ecb_annual_average</x:v>
      </x:c>
    </x:row>
    <x:row r="74" ht="25.5" customHeight="1">
      <x:c r="A74" s="14" t="str">
        <x:v>scenario_component</x:v>
      </x:c>
      <x:c r="B74" s="14" t="str">
        <x:v>NZ-2024-RETAIL-RANGE</x:v>
      </x:c>
      <x:c r="C74" s="14" t="str">
        <x:v>low.specialistRetailNzd</x:v>
      </x:c>
      <x:c r="D74" s="14" t="str">
        <x:v>New Zealand</x:v>
      </x:c>
      <x:c r="E74" s="14" t="n">
        <x:v>2024</x:v>
      </x:c>
      <x:c r="F74" s="14" t="str">
        <x:v>calendar_year</x:v>
      </x:c>
      <x:c r="G74" s="45" t="n">
        <x:v>258327110.88</x:v>
      </x:c>
      <x:c r="H74" s="45" t="str">
        <x:v>NZD</x:v>
      </x:c>
      <x:c r="I74" s="45" t="n">
        <x:v>1.788048828125</x:v>
      </x:c>
      <x:c r="J74" s="45" t="n">
        <x:f>G74/I74</x:f>
        <x:v>144474304.51375833</x:v>
      </x:c>
      <x:c r="K74" s="14" t="str">
        <x:v>ECB-EXR-A-NZD-EUR-SP00-A-2024</x:v>
      </x:c>
      <x:c r="L74" s="14" t="str">
        <x:v>https://data-api.ecb.europa.eu/service/data/EXR/A.NZD.EUR.SP00.A?startPeriod=2024&amp;endPeriod=2024&amp;format=csvdata</x:v>
      </x:c>
      <x:c r="M74" s="14" t="str">
        <x:v>computed</x:v>
      </x:c>
      <x:c r="N74" s="14" t="str">
        <x:v>original_amount_divided_by_ecb_annual_average</x:v>
      </x:c>
    </x:row>
    <x:row r="75" ht="25.5" customHeight="1">
      <x:c r="A75" s="14" t="str">
        <x:v>scenario_component</x:v>
      </x:c>
      <x:c r="B75" s="14" t="str">
        <x:v>NZ-2024-RETAIL-RANGE</x:v>
      </x:c>
      <x:c r="C75" s="14" t="str">
        <x:v>low.generalRetailRpsNzd</x:v>
      </x:c>
      <x:c r="D75" s="14" t="str">
        <x:v>New Zealand</x:v>
      </x:c>
      <x:c r="E75" s="14" t="n">
        <x:v>2024</x:v>
      </x:c>
      <x:c r="F75" s="14" t="str">
        <x:v>calendar_year</x:v>
      </x:c>
      <x:c r="G75" s="45" t="n">
        <x:v>275335272.8</x:v>
      </x:c>
      <x:c r="H75" s="45" t="str">
        <x:v>NZD</x:v>
      </x:c>
      <x:c r="I75" s="45" t="n">
        <x:v>1.788048828125</x:v>
      </x:c>
      <x:c r="J75" s="45" t="n">
        <x:f>G75/I75</x:f>
        <x:v>153986439.55865824</x:v>
      </x:c>
      <x:c r="K75" s="14" t="str">
        <x:v>ECB-EXR-A-NZD-EUR-SP00-A-2024</x:v>
      </x:c>
      <x:c r="L75" s="14" t="str">
        <x:v>https://data-api.ecb.europa.eu/service/data/EXR/A.NZD.EUR.SP00.A?startPeriod=2024&amp;endPeriod=2024&amp;format=csvdata</x:v>
      </x:c>
      <x:c r="M75" s="14" t="str">
        <x:v>computed</x:v>
      </x:c>
      <x:c r="N75" s="14" t="str">
        <x:v>original_amount_divided_by_ecb_annual_average</x:v>
      </x:c>
    </x:row>
    <x:row r="76" ht="25.5" customHeight="1">
      <x:c r="A76" s="14" t="str">
        <x:v>scenario_component</x:v>
      </x:c>
      <x:c r="B76" s="14" t="str">
        <x:v>NZ-2024-RETAIL-RANGE</x:v>
      </x:c>
      <x:c r="C76" s="14" t="str">
        <x:v>low.combinedNzd</x:v>
      </x:c>
      <x:c r="D76" s="14" t="str">
        <x:v>New Zealand</x:v>
      </x:c>
      <x:c r="E76" s="14" t="n">
        <x:v>2024</x:v>
      </x:c>
      <x:c r="F76" s="14" t="str">
        <x:v>calendar_year</x:v>
      </x:c>
      <x:c r="G76" s="45" t="n">
        <x:v>533662383.68</x:v>
      </x:c>
      <x:c r="H76" s="45" t="str">
        <x:v>NZD</x:v>
      </x:c>
      <x:c r="I76" s="45" t="n">
        <x:v>1.788048828125</x:v>
      </x:c>
      <x:c r="J76" s="45" t="n">
        <x:f>G76/I76</x:f>
        <x:v>298460744.0724166</x:v>
      </x:c>
      <x:c r="K76" s="14" t="str">
        <x:v>ECB-EXR-A-NZD-EUR-SP00-A-2024</x:v>
      </x:c>
      <x:c r="L76" s="14" t="str">
        <x:v>https://data-api.ecb.europa.eu/service/data/EXR/A.NZD.EUR.SP00.A?startPeriod=2024&amp;endPeriod=2024&amp;format=csvdata</x:v>
      </x:c>
      <x:c r="M76" s="14" t="str">
        <x:v>computed</x:v>
      </x:c>
      <x:c r="N76" s="14" t="str">
        <x:v>original_amount_divided_by_ecb_annual_average</x:v>
      </x:c>
    </x:row>
    <x:row r="77" ht="25.5" customHeight="1">
      <x:c r="A77" s="14" t="str">
        <x:v>scenario_component</x:v>
      </x:c>
      <x:c r="B77" s="14" t="str">
        <x:v>NZ-2024-RETAIL-RANGE</x:v>
      </x:c>
      <x:c r="C77" s="14" t="str">
        <x:v>base.specialistRetailNzd</x:v>
      </x:c>
      <x:c r="D77" s="14" t="str">
        <x:v>New Zealand</x:v>
      </x:c>
      <x:c r="E77" s="14" t="n">
        <x:v>2024</x:v>
      </x:c>
      <x:c r="F77" s="14" t="str">
        <x:v>calendar_year</x:v>
      </x:c>
      <x:c r="G77" s="45" t="n">
        <x:v>274180410.21</x:v>
      </x:c>
      <x:c r="H77" s="45" t="str">
        <x:v>NZD</x:v>
      </x:c>
      <x:c r="I77" s="45" t="n">
        <x:v>1.788048828125</x:v>
      </x:c>
      <x:c r="J77" s="45" t="n">
        <x:f>G77/I77</x:f>
        <x:v>153340560.89369413</x:v>
      </x:c>
      <x:c r="K77" s="14" t="str">
        <x:v>ECB-EXR-A-NZD-EUR-SP00-A-2024</x:v>
      </x:c>
      <x:c r="L77" s="14" t="str">
        <x:v>https://data-api.ecb.europa.eu/service/data/EXR/A.NZD.EUR.SP00.A?startPeriod=2024&amp;endPeriod=2024&amp;format=csvdata</x:v>
      </x:c>
      <x:c r="M77" s="14" t="str">
        <x:v>computed</x:v>
      </x:c>
      <x:c r="N77" s="14" t="str">
        <x:v>original_amount_divided_by_ecb_annual_average</x:v>
      </x:c>
    </x:row>
    <x:row r="78" ht="25.5" customHeight="1">
      <x:c r="A78" s="14" t="str">
        <x:v>scenario_component</x:v>
      </x:c>
      <x:c r="B78" s="14" t="str">
        <x:v>NZ-2024-RETAIL-RANGE</x:v>
      </x:c>
      <x:c r="C78" s="14" t="str">
        <x:v>base.generalRetailRpsNzd</x:v>
      </x:c>
      <x:c r="D78" s="14" t="str">
        <x:v>New Zealand</x:v>
      </x:c>
      <x:c r="E78" s="14" t="n">
        <x:v>2024</x:v>
      </x:c>
      <x:c r="F78" s="14" t="str">
        <x:v>calendar_year</x:v>
      </x:c>
      <x:c r="G78" s="45" t="n">
        <x:v>367631277.68</x:v>
      </x:c>
      <x:c r="H78" s="45" t="str">
        <x:v>NZD</x:v>
      </x:c>
      <x:c r="I78" s="45" t="n">
        <x:v>1.788048828125</x:v>
      </x:c>
      <x:c r="J78" s="45" t="n">
        <x:f>G78/I78</x:f>
        <x:v>205604719.4558489</x:v>
      </x:c>
      <x:c r="K78" s="14" t="str">
        <x:v>ECB-EXR-A-NZD-EUR-SP00-A-2024</x:v>
      </x:c>
      <x:c r="L78" s="14" t="str">
        <x:v>https://data-api.ecb.europa.eu/service/data/EXR/A.NZD.EUR.SP00.A?startPeriod=2024&amp;endPeriod=2024&amp;format=csvdata</x:v>
      </x:c>
      <x:c r="M78" s="14" t="str">
        <x:v>computed</x:v>
      </x:c>
      <x:c r="N78" s="14" t="str">
        <x:v>original_amount_divided_by_ecb_annual_average</x:v>
      </x:c>
    </x:row>
    <x:row r="79" ht="25.5" customHeight="1">
      <x:c r="A79" s="14" t="str">
        <x:v>scenario_component</x:v>
      </x:c>
      <x:c r="B79" s="14" t="str">
        <x:v>NZ-2024-RETAIL-RANGE</x:v>
      </x:c>
      <x:c r="C79" s="14" t="str">
        <x:v>base.combinedNzd</x:v>
      </x:c>
      <x:c r="D79" s="14" t="str">
        <x:v>New Zealand</x:v>
      </x:c>
      <x:c r="E79" s="14" t="n">
        <x:v>2024</x:v>
      </x:c>
      <x:c r="F79" s="14" t="str">
        <x:v>calendar_year</x:v>
      </x:c>
      <x:c r="G79" s="45" t="n">
        <x:v>641811687.89</x:v>
      </x:c>
      <x:c r="H79" s="45" t="str">
        <x:v>NZD</x:v>
      </x:c>
      <x:c r="I79" s="45" t="n">
        <x:v>1.788048828125</x:v>
      </x:c>
      <x:c r="J79" s="45" t="n">
        <x:f>G79/I79</x:f>
        <x:v>358945280.34954304</x:v>
      </x:c>
      <x:c r="K79" s="14" t="str">
        <x:v>ECB-EXR-A-NZD-EUR-SP00-A-2024</x:v>
      </x:c>
      <x:c r="L79" s="14" t="str">
        <x:v>https://data-api.ecb.europa.eu/service/data/EXR/A.NZD.EUR.SP00.A?startPeriod=2024&amp;endPeriod=2024&amp;format=csvdata</x:v>
      </x:c>
      <x:c r="M79" s="14" t="str">
        <x:v>computed</x:v>
      </x:c>
      <x:c r="N79" s="14" t="str">
        <x:v>original_amount_divided_by_ecb_annual_average</x:v>
      </x:c>
    </x:row>
    <x:row r="80" ht="25.5" customHeight="1">
      <x:c r="A80" s="14" t="str">
        <x:v>scenario_component</x:v>
      </x:c>
      <x:c r="B80" s="14" t="str">
        <x:v>NZ-2024-RETAIL-RANGE</x:v>
      </x:c>
      <x:c r="C80" s="14" t="str">
        <x:v>high.specialistRetailNzd</x:v>
      </x:c>
      <x:c r="D80" s="14" t="str">
        <x:v>New Zealand</x:v>
      </x:c>
      <x:c r="E80" s="14" t="n">
        <x:v>2024</x:v>
      </x:c>
      <x:c r="F80" s="14" t="str">
        <x:v>calendar_year</x:v>
      </x:c>
      <x:c r="G80" s="45" t="n">
        <x:v>274180410.21</x:v>
      </x:c>
      <x:c r="H80" s="45" t="str">
        <x:v>NZD</x:v>
      </x:c>
      <x:c r="I80" s="45" t="n">
        <x:v>1.788048828125</x:v>
      </x:c>
      <x:c r="J80" s="45" t="n">
        <x:f>G80/I80</x:f>
        <x:v>153340560.89369413</x:v>
      </x:c>
      <x:c r="K80" s="14" t="str">
        <x:v>ECB-EXR-A-NZD-EUR-SP00-A-2024</x:v>
      </x:c>
      <x:c r="L80" s="14" t="str">
        <x:v>https://data-api.ecb.europa.eu/service/data/EXR/A.NZD.EUR.SP00.A?startPeriod=2024&amp;endPeriod=2024&amp;format=csvdata</x:v>
      </x:c>
      <x:c r="M80" s="14" t="str">
        <x:v>computed</x:v>
      </x:c>
      <x:c r="N80" s="14" t="str">
        <x:v>original_amount_divided_by_ecb_annual_average</x:v>
      </x:c>
    </x:row>
    <x:row r="81" ht="25.5" customHeight="1">
      <x:c r="A81" s="14" t="str">
        <x:v>scenario_component</x:v>
      </x:c>
      <x:c r="B81" s="14" t="str">
        <x:v>NZ-2024-RETAIL-RANGE</x:v>
      </x:c>
      <x:c r="C81" s="14" t="str">
        <x:v>high.generalRetailRpsNzd</x:v>
      </x:c>
      <x:c r="D81" s="14" t="str">
        <x:v>New Zealand</x:v>
      </x:c>
      <x:c r="E81" s="14" t="n">
        <x:v>2024</x:v>
      </x:c>
      <x:c r="F81" s="14" t="str">
        <x:v>calendar_year</x:v>
      </x:c>
      <x:c r="G81" s="45" t="n">
        <x:v>456995382.29</x:v>
      </x:c>
      <x:c r="H81" s="45" t="str">
        <x:v>NZD</x:v>
      </x:c>
      <x:c r="I81" s="45" t="n">
        <x:v>1.788048828125</x:v>
      </x:c>
      <x:c r="J81" s="45" t="n">
        <x:f>G81/I81</x:f>
        <x:v>255583278.88015154</x:v>
      </x:c>
      <x:c r="K81" s="14" t="str">
        <x:v>ECB-EXR-A-NZD-EUR-SP00-A-2024</x:v>
      </x:c>
      <x:c r="L81" s="14" t="str">
        <x:v>https://data-api.ecb.europa.eu/service/data/EXR/A.NZD.EUR.SP00.A?startPeriod=2024&amp;endPeriod=2024&amp;format=csvdata</x:v>
      </x:c>
      <x:c r="M81" s="14" t="str">
        <x:v>computed</x:v>
      </x:c>
      <x:c r="N81" s="14" t="str">
        <x:v>original_amount_divided_by_ecb_annual_average</x:v>
      </x:c>
    </x:row>
    <x:row r="82" ht="25.5" customHeight="1">
      <x:c r="A82" s="14" t="str">
        <x:v>scenario_component</x:v>
      </x:c>
      <x:c r="B82" s="14" t="str">
        <x:v>NZ-2024-RETAIL-RANGE</x:v>
      </x:c>
      <x:c r="C82" s="14" t="str">
        <x:v>high.combinedNzd</x:v>
      </x:c>
      <x:c r="D82" s="14" t="str">
        <x:v>New Zealand</x:v>
      </x:c>
      <x:c r="E82" s="14" t="n">
        <x:v>2024</x:v>
      </x:c>
      <x:c r="F82" s="14" t="str">
        <x:v>calendar_year</x:v>
      </x:c>
      <x:c r="G82" s="45" t="n">
        <x:v>731175792.5</x:v>
      </x:c>
      <x:c r="H82" s="45" t="str">
        <x:v>NZD</x:v>
      </x:c>
      <x:c r="I82" s="45" t="n">
        <x:v>1.788048828125</x:v>
      </x:c>
      <x:c r="J82" s="45" t="n">
        <x:f>G82/I82</x:f>
        <x:v>408923839.7738457</x:v>
      </x:c>
      <x:c r="K82" s="14" t="str">
        <x:v>ECB-EXR-A-NZD-EUR-SP00-A-2024</x:v>
      </x:c>
      <x:c r="L82" s="14" t="str">
        <x:v>https://data-api.ecb.europa.eu/service/data/EXR/A.NZD.EUR.SP00.A?startPeriod=2024&amp;endPeriod=2024&amp;format=csvdata</x:v>
      </x:c>
      <x:c r="M82" s="14" t="str">
        <x:v>computed</x:v>
      </x:c>
      <x:c r="N82" s="14" t="str">
        <x:v>original_amount_divided_by_ecb_annual_average</x:v>
      </x:c>
    </x:row>
    <x:row r="83" ht="25.5" customHeight="1">
      <x:c r="A83" s="14" t="str">
        <x:v>model</x:v>
      </x:c>
      <x:c r="B83" s="14" t="str">
        <x:v>DE-2025-LIQUID-RETAIL-EQUIVALENT-RANGE</x:v>
      </x:c>
      <x:c r="C83" s="14" t="str">
        <x:v>low</x:v>
      </x:c>
      <x:c r="D83" s="14"/>
      <x:c r="E83" s="14" t="n">
        <x:v>2025</x:v>
      </x:c>
      <x:c r="F83" s="14" t="str">
        <x:v>calendar_year</x:v>
      </x:c>
      <x:c r="G83" s="45" t="n">
        <x:v>667920000</x:v>
      </x:c>
      <x:c r="H83" s="45" t="str">
        <x:v>EUR</x:v>
      </x:c>
      <x:c r="I83" s="45" t="n">
        <x:v>1</x:v>
      </x:c>
      <x:c r="J83" s="45" t="n">
        <x:f>G83</x:f>
        <x:v>667920000</x:v>
      </x:c>
      <x:c r="K83" s="14" t="str">
        <x:v>EUR-IDENTITY</x:v>
      </x:c>
      <x:c r="L83" s="14" t="str">
        <x:v>https://www.ecb.europa.eu/stats/policy_and_exchange_rates/euro_reference_exchange_rates/html/index.en.html</x:v>
      </x:c>
      <x:c r="M83" s="14" t="str">
        <x:v>already_eur</x:v>
      </x:c>
      <x:c r="N83" s="14" t="str">
        <x:v>original_currency_already_eur</x:v>
      </x:c>
    </x:row>
    <x:row r="84" ht="25.5" customHeight="1">
      <x:c r="A84" s="14" t="str">
        <x:v>model</x:v>
      </x:c>
      <x:c r="B84" s="14" t="str">
        <x:v>DE-2025-LIQUID-RETAIL-EQUIVALENT-RANGE</x:v>
      </x:c>
      <x:c r="C84" s="14" t="str">
        <x:v>central</x:v>
      </x:c>
      <x:c r="D84" s="14"/>
      <x:c r="E84" s="14" t="n">
        <x:v>2025</x:v>
      </x:c>
      <x:c r="F84" s="14" t="str">
        <x:v>calendar_year</x:v>
      </x:c>
      <x:c r="G84" s="45" t="n">
        <x:v>1199220000</x:v>
      </x:c>
      <x:c r="H84" s="45" t="str">
        <x:v>EUR</x:v>
      </x:c>
      <x:c r="I84" s="45" t="n">
        <x:v>1</x:v>
      </x:c>
      <x:c r="J84" s="45" t="n">
        <x:f>G84</x:f>
        <x:v>1199220000</x:v>
      </x:c>
      <x:c r="K84" s="14" t="str">
        <x:v>EUR-IDENTITY</x:v>
      </x:c>
      <x:c r="L84" s="14" t="str">
        <x:v>https://www.ecb.europa.eu/stats/policy_and_exchange_rates/euro_reference_exchange_rates/html/index.en.html</x:v>
      </x:c>
      <x:c r="M84" s="14" t="str">
        <x:v>already_eur</x:v>
      </x:c>
      <x:c r="N84" s="14" t="str">
        <x:v>original_currency_already_eur</x:v>
      </x:c>
    </x:row>
    <x:row r="85" ht="25.5" customHeight="1">
      <x:c r="A85" s="15" t="str">
        <x:v>model</x:v>
      </x:c>
      <x:c r="B85" s="15" t="str">
        <x:v>DE-2025-LIQUID-RETAIL-EQUIVALENT-RANGE</x:v>
      </x:c>
      <x:c r="C85" s="15" t="str">
        <x:v>high</x:v>
      </x:c>
      <x:c r="D85" s="15"/>
      <x:c r="E85" s="15" t="n">
        <x:v>2025</x:v>
      </x:c>
      <x:c r="F85" s="15" t="str">
        <x:v>calendar_year</x:v>
      </x:c>
      <x:c r="G85" s="46" t="n">
        <x:v>1654620000</x:v>
      </x:c>
      <x:c r="H85" s="46" t="str">
        <x:v>EUR</x:v>
      </x:c>
      <x:c r="I85" s="46" t="n">
        <x:v>1</x:v>
      </x:c>
      <x:c r="J85" s="46" t="n">
        <x:f>G85</x:f>
        <x:v>1654620000</x:v>
      </x:c>
      <x:c r="K85" s="15" t="str">
        <x:v>EUR-IDENTITY</x:v>
      </x:c>
      <x:c r="L85" s="15" t="str">
        <x:v>https://www.ecb.europa.eu/stats/policy_and_exchange_rates/euro_reference_exchange_rates/html/index.en.html</x:v>
      </x:c>
      <x:c r="M85" s="15" t="str">
        <x:v>already_eur</x:v>
      </x:c>
      <x:c r="N85" s="15" t="str">
        <x:v>original_currency_already_eur</x:v>
      </x:c>
    </x:row>
  </x:sheetData>
  <x:pageMargins left="0.7" right="0.7" top="0.75" bottom="0.75" header="0.3" footer="0.3"/>
  <x:tableParts count="1">
    <x:tablePart xmlns:r="http://schemas.openxmlformats.org/officeDocument/2006/relationships" r:id="R2bcbfbfa50134e04"/>
  </x:tableParts>
</x:worksheet>
</file>