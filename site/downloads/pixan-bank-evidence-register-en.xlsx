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0477df0fd949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idence Register" sheetId="1" r:id="R6e38c9b692d94899"/>
    <x:sheet xmlns:r="http://schemas.openxmlformats.org/officeDocument/2006/relationships" name="Summary" sheetId="2" r:id="Rac4dd6666f8142a9"/>
    <x:sheet xmlns:r="http://schemas.openxmlformats.org/officeDocument/2006/relationships" name="Reviewer questions" sheetId="3" r:id="R6e971f01fde54011"/>
    <x:sheet xmlns:r="http://schemas.openxmlformats.org/officeDocument/2006/relationships" name="Sources" sheetId="4" r:id="R4933dcd71bfe41d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0"/>
      <x:color rgb="FFFFFFFF"/>
      <x:name val="Aptos"/>
    </x:font>
    <x:font>
      <x:sz val="9"/>
      <x:color rgb="FF182935"/>
      <x:name val="Aptos"/>
    </x:font>
    <x:font>
      <x:b/>
      <x:sz val="22"/>
      <x:color rgb="FFFFFFFF"/>
      <x:name val="Aptos Display"/>
    </x:font>
    <x:font>
      <x:b/>
      <x:sz val="9"/>
      <x:color rgb="FF182935"/>
      <x:name val="Aptos"/>
    </x:font>
    <x:font>
      <x:b/>
      <x:sz val="10"/>
      <x:color rgb="FF5B6B75"/>
      <x:name val="Aptos"/>
    </x:font>
    <x:font>
      <x:b/>
      <x:sz val="12"/>
      <x:color rgb="FFFFFFFF"/>
      <x:name val="Aptos"/>
    </x:font>
    <x:font>
      <x:b/>
      <x:sz val="10"/>
      <x:color rgb="FF182935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071A2B"/>
      </x:patternFill>
    </x:fill>
    <x:fill>
      <x:patternFill patternType="solid">
        <x:fgColor rgb="FFFFF0CB"/>
      </x:patternFill>
    </x:fill>
    <x:fill>
      <x:patternFill patternType="solid">
        <x:fgColor rgb="FFEAF3F6"/>
      </x:patternFill>
    </x:fill>
    <x:fill>
      <x:patternFill patternType="solid">
        <x:fgColor rgb="FF0D5F86"/>
      </x:patternFill>
    </x:fill>
    <x:fill>
      <x:patternFill patternType="solid">
        <x:fgColor rgb="FFD9EDE7"/>
      </x:patternFill>
    </x:fill>
    <x:fill>
      <x:patternFill patternType="solid">
        <x:fgColor rgb="FFF8DADA"/>
      </x:patternFill>
    </x:fill>
  </x:fills>
  <x:borders count="6">
    <x:border/>
    <x:border>
      <x:bottom style="medium">
        <x:color rgb="FF00A4A6"/>
      </x:bottom>
    </x:border>
    <x:border>
      <x:bottom style="thin">
        <x:color rgb="FFCBD8DE"/>
      </x:bottom>
    </x:border>
    <x:border>
      <x:top style="thin">
        <x:color rgb="FFCBD8DE"/>
      </x:top>
      <x:bottom style="thin">
        <x:color rgb="FFCBD8DE"/>
      </x:bottom>
    </x:border>
    <x:border>
      <x:top style="thin">
        <x:color rgb="FFCBD8DE"/>
      </x:top>
    </x:border>
    <x:border>
      <x:bottom style="thin">
        <x:color rgb="FF00A4A6"/>
      </x:bottom>
    </x:border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5" xfId="0" applyNumberFormat="1" applyFont="1" applyFill="1" applyBorder="1"/>
    <x:xf numFmtId="0" fontId="4" fillId="3" borderId="5" xfId="0" applyNumberFormat="1" applyFont="1" applyFill="1" applyBorder="1" applyAlignment="1">
      <x:alignment wrapText="1"/>
    </x:xf>
    <x:xf numFmtId="0" fontId="4" fillId="3" borderId="5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2" fillId="6" borderId="2" xfId="0" applyNumberFormat="1" applyFont="1" applyFill="1" applyBorder="1" applyAlignment="1">
      <x:alignment vertical="top" wrapText="1"/>
    </x:xf>
    <x:xf numFmtId="0" fontId="2" fillId="4" borderId="3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 wrapText="1"/>
    </x:xf>
    <x:xf numFmtId="0" fontId="2" fillId="7" borderId="4" xfId="0" applyNumberFormat="1" applyFont="1" applyFill="1" applyBorder="1" applyAlignment="1">
      <x:alignment vertical="top" wrapText="1"/>
    </x:xf>
    <x:xf numFmtId="0" fontId="7" fillId="6" borderId="2" xfId="0" applyNumberFormat="1" applyFont="1" applyFill="1" applyBorder="1" applyAlignment="1">
      <x:alignment vertical="top" wrapText="1"/>
    </x:xf>
    <x:xf numFmtId="0" fontId="7" fillId="4" borderId="3" xfId="0" applyNumberFormat="1" applyFont="1" applyFill="1" applyBorder="1" applyAlignment="1">
      <x:alignment vertical="top" wrapText="1"/>
    </x:xf>
    <x:xf numFmtId="0" fontId="7" fillId="3" borderId="3" xfId="0" applyNumberFormat="1" applyFont="1" applyFill="1" applyBorder="1" applyAlignment="1">
      <x:alignment vertical="top" wrapText="1"/>
    </x:xf>
    <x:xf numFmtId="0" fontId="7" fillId="7" borderId="4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182935"/>
      </x:font>
      <x:fill>
        <x:patternFill patternType="solid">
          <x:bgColor rgb="FFD9EDE7"/>
        </x:patternFill>
      </x:fill>
    </x:dxf>
    <x:dxf>
      <x:font>
        <x:b/>
        <x:color rgb="FF182935"/>
      </x:font>
      <x:fill>
        <x:patternFill patternType="solid">
          <x:bgColor rgb="FFEAF3F6"/>
        </x:patternFill>
      </x:fill>
    </x:dxf>
    <x:dxf>
      <x:font>
        <x:b/>
        <x:color rgb="FF182935"/>
      </x:font>
      <x:fill>
        <x:patternFill patternType="solid">
          <x:bgColor rgb="FFFFF0CB"/>
        </x:patternFill>
      </x:fill>
    </x:dxf>
    <x:dxf>
      <x:font>
        <x:b/>
        <x:color rgb="FF182935"/>
      </x:font>
      <x:fill>
        <x:patternFill patternType="solid">
          <x:bgColor rgb="FFF8DA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afcba51fdb4afe" /><Relationship Type="http://schemas.openxmlformats.org/officeDocument/2006/relationships/theme" Target="/xl/theme/theme1.xml" Id="Reda1bc74132b417c" /><Relationship Type="http://schemas.openxmlformats.org/officeDocument/2006/relationships/sharedStrings" Target="/xl/sharedStrings.xml" Id="R71ce635a86b74e2a" /><Relationship Type="http://schemas.openxmlformats.org/officeDocument/2006/relationships/worksheet" Target="/xl/worksheets/sheet1.xml" Id="R6e38c9b692d94899" /><Relationship Type="http://schemas.openxmlformats.org/officeDocument/2006/relationships/worksheet" Target="/xl/worksheets/sheet2.xml" Id="Rac4dd6666f8142a9" /><Relationship Type="http://schemas.openxmlformats.org/officeDocument/2006/relationships/worksheet" Target="/xl/worksheets/sheet3.xml" Id="R6e971f01fde54011" /><Relationship Type="http://schemas.openxmlformats.org/officeDocument/2006/relationships/worksheet" Target="/xl/worksheets/sheet4.xml" Id="R4933dcd71bfe41d7" /></Relationships>
</file>

<file path=xl/tables/table1.xml><?xml version="1.0" encoding="utf-8"?>
<x:table xmlns:x="http://schemas.openxmlformats.org/spreadsheetml/2006/main" id="1" name="EvidenceRegisterEN" displayName="EvidenceRegisterEN" ref="A1:I46" headerRowCount="1" totalsRowCount="0" totalsRowShown="0">
  <x:autoFilter ref="A1:I46"/>
  <x:tableColumns count="9">
    <x:tableColumn id="1" name="Claim"/>
    <x:tableColumn id="2" name="Slide/section"/>
    <x:tableColumn id="3" name="Evidence"/>
    <x:tableColumn id="4" name="Source"/>
    <x:tableColumn id="5" name="Date"/>
    <x:tableColumn id="6" name="Calculation method"/>
    <x:tableColumn id="7" name="Assumptions"/>
    <x:tableColumn id="8" name="Confidence"/>
    <x:tableColumn id="9" name="Gaps / additional evidence need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viewerQuestionsEN" displayName="ReviewerQuestionsEN" ref="A1:D6" headerRowCount="1" totalsRowCount="0" totalsRowShown="0">
  <x:tableColumns count="4">
    <x:tableColumn id="1" name="Priority"/>
    <x:tableColumn id="2" name="Likely question"/>
    <x:tableColumn id="3" name="Required evidence"/>
    <x:tableColumn id="4" name="Current 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EN" displayName="SourcesEN" ref="A1:E47" headerRowCount="1" totalsRowCount="0" totalsRowShown="0">
  <x:tableColumns count="5">
    <x:tableColumn id="1" name="Source ID"/>
    <x:tableColumn id="2" name="Publisher"/>
    <x:tableColumn id="3" name="Source class"/>
    <x:tableColumn id="4" name="URL"/>
    <x:tableColumn id="5" name="Retrieved / data as of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23d572179044f0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bb579c6b481496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2c2b77e8ff3455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66999816894531" hidden="0" customWidth="1"/>
    <x:col min="2" max="2" width="18.889999389648438" hidden="0" customWidth="1"/>
    <x:col min="3" max="3" width="43.33000183105469" hidden="0" customWidth="1"/>
    <x:col min="4" max="4" width="41.11000061035156" hidden="0" customWidth="1"/>
    <x:col min="5" max="5" width="12.779999732971191" hidden="0" customWidth="1"/>
    <x:col min="6" max="6" width="33.33000183105469" hidden="0" customWidth="1"/>
    <x:col min="7" max="7" width="33.33000183105469" hidden="0" customWidth="1"/>
    <x:col min="8" max="8" width="13.890000343322754" hidden="0" customWidth="1"/>
    <x:col min="9" max="9" width="43.33000183105469" hidden="0" customWidth="1"/>
  </x:cols>
  <x:sheetData>
    <x:row r="1" ht="33" customHeight="1">
      <x:c r="A1" s="5" t="str">
        <x:v>Claim</x:v>
      </x:c>
      <x:c r="B1" s="5" t="str">
        <x:v>Slide/section</x:v>
      </x:c>
      <x:c r="C1" s="5" t="str">
        <x:v>Evidence</x:v>
      </x:c>
      <x:c r="D1" s="5" t="str">
        <x:v>Source</x:v>
      </x:c>
      <x:c r="E1" s="5" t="str">
        <x:v>Date</x:v>
      </x:c>
      <x:c r="F1" s="5" t="str">
        <x:v>Calculation method</x:v>
      </x:c>
      <x:c r="G1" s="5" t="str">
        <x:v>Assumptions</x:v>
      </x:c>
      <x:c r="H1" s="5" t="str">
        <x:v>Confidence</x:v>
      </x:c>
      <x:c r="I1" s="5" t="str">
        <x:v>Gaps / additional evidence needed</x:v>
      </x:c>
    </x:row>
    <x:row r="2" ht="55.5" customHeight="1">
      <x:c r="A2" s="13" t="str">
        <x:v>Public register data records Pixan Oy as the proprietor.</x:v>
      </x:c>
      <x:c r="B2" s="13" t="str">
        <x:v>IP status</x:v>
      </x:c>
      <x:c r="C2" s="13" t="str">
        <x:v>The EPO main record records Pixan Oy as the proprietor.</x:v>
      </x:c>
      <x:c r="D2" s="13" t="str">
        <x:v>https://register.epo.org/application?number=EP14836345&amp;lng=en&amp;tab=main</x:v>
      </x:c>
      <x:c r="E2" s="13" t="str">
        <x:v>2026-07-22</x:v>
      </x:c>
      <x:c r="F2" s="13" t="str">
        <x:v>Direct observation from the register.</x:v>
      </x:c>
      <x:c r="G2" s="13" t="str">
        <x:v>The register reflects the public record on the review date.</x:v>
      </x:c>
      <x:c r="H2" s="13" t="str">
        <x:v>Confirmed</x:v>
      </x:c>
      <x:c r="I2" s="13" t="str">
        <x:v>The complete chain of title, deeds of assignment and possible encumbrances must be reviewed separately.</x:v>
      </x:c>
    </x:row>
    <x:row r="3" ht="55.5" customHeight="1">
      <x:c r="A3" s="14" t="str">
        <x:v>The earliest priority is FI20135829 dated 2013-08-14.</x:v>
      </x:c>
      <x:c r="B3" s="14" t="str">
        <x:v>IP status</x:v>
      </x:c>
      <x:c r="C3" s="14" t="str">
        <x:v>EPO record: FI20135829 · PCT/FI2014/050624 · WO2015022448 · EP3032975.</x:v>
      </x:c>
      <x:c r="D3" s="14" t="str">
        <x:v>https://register.epo.org/application?number=EP14836345&amp;lng=en&amp;tab=main ; https://register.epo.org/application?number=EP14836345&amp;lng=en&amp;tab=family</x:v>
      </x:c>
      <x:c r="E3" s="14" t="str">
        <x:v>2013-08-14</x:v>
      </x:c>
      <x:c r="F3" s="14" t="str">
        <x:v>Direct observation from the register.</x:v>
      </x:c>
      <x:c r="G3" s="14" t="str">
        <x:v>No assumptions.</x:v>
      </x:c>
      <x:c r="H3" s="14" t="str">
        <x:v>Confirmed</x:v>
      </x:c>
      <x:c r="I3" s="14" t="str">
        <x:v>No material gap for the priority claim.</x:v>
      </x:c>
    </x:row>
    <x:row r="4" ht="55.5" customHeight="1">
      <x:c r="A4" s="14" t="str">
        <x:v>The central EPO opposition and appeal proceedings concluded with the patent maintained in amended form.</x:v>
      </x:c>
      <x:c r="B4" s="14" t="str">
        <x:v>IP status</x:v>
      </x:c>
      <x:c r="C4" s="14" t="str">
        <x:v>Nicoventures Trading Limited filed an opposition on 28 February 2020; oral proceedings were held in July 2021 and an interlocutory decision was issued in August 2021; Pixan filed appeal T1818/21 in October 2021 and withdrew it on 11 December 2023; an amended nine-claim B2 was published on 24 April 2024.</x:v>
      </x:c>
      <x:c r="D4" s="14" t="str">
        <x:v>https://register.epo.org/application?number=EP14836345&amp;lng=en&amp;tab=event ; https://register.epo.org/application?number=EP14836345&amp;lng=en&amp;tab=doclist ; https://data.epo.org/publication-server/rest/v1.2/patents/EP3032975NWB1/document.pdf ; https://data.epo.org/publication-server/rest/v1.2/patents/EP3032975NWB2/document.pdf</x:v>
      </x:c>
      <x:c r="E4" s="14" t="str">
        <x:v>2024-04-24</x:v>
      </x:c>
      <x:c r="F4" s="14" t="str">
        <x:v>Cross-check of official event entries and the B2 publication.</x:v>
      </x:c>
      <x:c r="G4" s="14" t="str">
        <x:v>National validity and enforceability must be assessed separately.</x:v>
      </x:c>
      <x:c r="H4" s="14" t="str">
        <x:v>Confirmed</x:v>
      </x:c>
      <x:c r="I4" s="14" t="str">
        <x:v>Current status in each national register is still required.</x:v>
      </x:c>
    </x:row>
    <x:row r="5" ht="55.5" customHeight="1">
      <x:c r="A5" s="14" t="str">
        <x:v>The amended EP3032975B2 contains nine claims.</x:v>
      </x:c>
      <x:c r="B5" s="14" t="str">
        <x:v>Patented solution</x:v>
      </x:c>
      <x:c r="C5" s="14" t="str">
        <x:v>B1 contained 13 claims and B2 contains 9 claims. The independent controller and method claims use stored resistance–power values, measure resistance, determine power through a non-proportional relationship and permit user adjustment between a non-zero minimum and a stored maximum. This is a plain-language summary, not a legal claim construction.</x:v>
      </x:c>
      <x:c r="D5" s="14" t="str">
        <x:v>https://data.epo.org/publication-server/rest/v1.2/patents/EP3032975NWB2/document.pdf</x:v>
      </x:c>
      <x:c r="E5" s="14" t="str">
        <x:v>2024-04-24</x:v>
      </x:c>
      <x:c r="F5" s="14" t="str">
        <x:v>Claims counted directly from the B2 publication.</x:v>
      </x:c>
      <x:c r="G5" s="14" t="str">
        <x:v>The plain-language summary is not a legal claim construction.</x:v>
      </x:c>
      <x:c r="H5" s="14" t="str">
        <x:v>Confirmed</x:v>
      </x:c>
      <x:c r="I5" s="14" t="str">
        <x:v>Country-specific expert claim construction and product mapping are required.</x:v>
      </x:c>
    </x:row>
    <x:row r="6" ht="55.5" customHeight="1">
      <x:c r="A6" s="14" t="str">
        <x:v>The patent family contains 22 publication-based records.</x:v>
      </x:c>
      <x:c r="B6" s="14" t="str">
        <x:v>Geographic coverage</x:v>
      </x:c>
      <x:c r="C6" s="14" t="str">
        <x:v>The public family data gives familyRecordCount = 22.</x:v>
      </x:c>
      <x:c r="D6" s="14" t="str">
        <x:v>https://register.epo.org/application?number=EP14836345&amp;lng=en&amp;tab=family</x:v>
      </x:c>
      <x:c r="E6" s="14" t="str">
        <x:v>2026-07-22</x:v>
      </x:c>
      <x:c r="F6" s="14" t="str">
        <x:v>Count of EPO family publications; the count does not represent active rights.</x:v>
      </x:c>
      <x:c r="G6" s="14" t="str">
        <x:v>Each publication record is treated only as evidence of a family route.</x:v>
      </x:c>
      <x:c r="H6" s="14" t="str">
        <x:v>Supported</x:v>
      </x:c>
      <x:c r="I6" s="14" t="str">
        <x:v>Title, fee status, operative claims and legal status must be verified country by country.</x:v>
      </x:c>
    </x:row>
    <x:row r="7" ht="55.5" customHeight="1">
      <x:c r="A7" s="14" t="str">
        <x:v>The German nullity action was dismissed on 14 January 2026, and an appeal is pending.</x:v>
      </x:c>
      <x:c r="B7" s="14" t="str">
        <x:v>Legal evidence</x:v>
      </x:c>
      <x:c r="C7" s="14" t="str">
        <x:v>The judgment concerns the German part of EP3032975B2. The appeal is pending before the Federal Court of Justice under reference X ZR 21/26.</x:v>
      </x:c>
      <x:c r="D7" s="14" t="str">
        <x:v>https://www.rechtsprechung-im-internet.de/jportal/?quelle=jlink&amp;docid=JURE269032275&amp;psml=bsjrsprod.psml</x:v>
      </x:c>
      <x:c r="E7" s="14" t="str">
        <x:v>2026-01-14</x:v>
      </x:c>
      <x:c r="F7" s="14" t="str">
        <x:v>Direct reading of the official judgment entry and appeal reference.</x:v>
      </x:c>
      <x:c r="G7" s="14" t="str">
        <x:v>The conclusion is limited to the German part and the current procedural status.</x:v>
      </x:c>
      <x:c r="H7" s="14" t="str">
        <x:v>Confirmed</x:v>
      </x:c>
      <x:c r="I7" s="14" t="str">
        <x:v>Monitor the progress and outcome of the Federal Court of Justice appeal X ZR 21/26.</x:v>
      </x:c>
    </x:row>
    <x:row r="8" ht="55.5" customHeight="1">
      <x:c r="A8" s="14" t="str">
        <x:v>The Munich court found that the products examined in the case infringed claims 1 and 6.</x:v>
      </x:c>
      <x:c r="B8" s="14" t="str">
        <x:v>Legal evidence</x:v>
      </x:c>
      <x:c r="C8" s="14" t="str">
        <x:v>The decision records direct infringement of claims 1 and 6 and indirect infringement in relation to supplementary parts, together with remedies described in the decision.</x:v>
      </x:c>
      <x:c r="D8" s="14" t="str">
        <x:v>https://www.gesetze-bayern.de/Content/Document/Y-300-Z-BECKRS-B-2026-N-14206</x:v>
      </x:c>
      <x:c r="E8" s="14" t="str">
        <x:v>2026-04-02</x:v>
      </x:c>
      <x:c r="F8" s="14" t="str">
        <x:v>Direct reading of the limited description of the official decision.</x:v>
      </x:c>
      <x:c r="G8" s="14" t="str">
        <x:v>The finding is not generalised beyond the products, parties, claims and period examined.</x:v>
      </x:c>
      <x:c r="H8" s="14" t="str">
        <x:v>Confirmed</x:v>
      </x:c>
      <x:c r="I8" s="14" t="str">
        <x:v>Appeal status, finality, enforcement and any damages actually paid remain to be verified.</x:v>
      </x:c>
    </x:row>
    <x:row r="9" ht="55.5" customHeight="1">
      <x:c r="A9" s="14" t="str">
        <x:v>The identified Chinese matter is an applicant-side re-examination, not infringement litigation.</x:v>
      </x:c>
      <x:c r="B9" s="14" t="str">
        <x:v>Legal evidence</x:v>
      </x:c>
      <x:c r="C9" s="14" t="str">
        <x:v>The RPX entry describes review of a rejected application rather than an infringement action or adversarial invalidity dispute. The applicant name Pixon Limited / 皮克森有限公司 is strongly consistent with the Chinese rendering used for Pixan, but the official decision was not retrieved. CN105764365B was later granted on 4 May 2021.</x:v>
      </x:c>
      <x:c r="D9" s="14" t="str">
        <x:v>https://litigation.rpxcorp.com/china/prb/5153434-picsen-company-v-pixan-oy-of-365 ; https://www.cnipa.gov.cn/art/2020/6/5/art_1517_92474.html ; https://register.epo.org/application?number=EP14836345&amp;lng=en&amp;tab=family</x:v>
      </x:c>
      <x:c r="E9" s="14" t="str">
        <x:v>2020-08-24</x:v>
      </x:c>
      <x:c r="F9" s="14" t="str">
        <x:v>Classification of the secondary docket entry against official procedural guidance.</x:v>
      </x:c>
      <x:c r="G9" s="14" t="str">
        <x:v>The name correspondence is strong, but the official decision is unavailable in the reviewed material.</x:v>
      </x:c>
      <x:c r="H9" s="14" t="str">
        <x:v>Supported</x:v>
      </x:c>
      <x:c r="I9" s="14" t="str">
        <x:v>The official CNIPA decision and its reasoning are required.</x:v>
      </x:c>
    </x:row>
    <x:row r="10" ht="55.5" customHeight="1">
      <x:c r="A10" s="14" t="str">
        <x:v>The public atlas contains a fixed research universe of 195 countries.</x:v>
      </x:c>
      <x:c r="B10" s="14" t="str">
        <x:v>Market scope</x:v>
      </x:c>
      <x:c r="C10" s="14" t="str">
        <x:v>countryCount = 195; universe = UN193+VA+PS.</x:v>
      </x:c>
      <x:c r="D10" s="14" t="str">
        <x:v>https://www.un.org/en/about-us/member-states ; https://www.un.org/en/about-us/non-member-states</x:v>
      </x:c>
      <x:c r="E10" s="14" t="str">
        <x:v>2026-07-22</x:v>
      </x:c>
      <x:c r="F10" s="14" t="str">
        <x:v>193 UN Member States + Holy See + State of Palestine.</x:v>
      </x:c>
      <x:c r="G10" s="14" t="str">
        <x:v>The research frame is not evidence of proven market coverage.</x:v>
      </x:c>
      <x:c r="H10" s="14" t="str">
        <x:v>Confirmed</x:v>
      </x:c>
      <x:c r="I10" s="14" t="str">
        <x:v>There is no gap in the universe definition; evidence coverage is assessed separately.</x:v>
      </x:c>
    </x:row>
    <x:row r="11" ht="55.5" customHeight="1">
      <x:c r="A11" s="14" t="str">
        <x:v>Accepted annual official quantitative observations are available from five countries.</x:v>
      </x:c>
      <x:c r="B11" s="14" t="str">
        <x:v>Market size</x:v>
      </x:c>
      <x:c r="C11" s="14" t="str">
        <x:v>The accepted countries are Canada, Germany, Finland, Poland and Sweden.</x:v>
      </x:c>
      <x:c r="D11" s="14" t="str">
        <x:v>site/data/market-values.json (machine-readable source file of the public site)</x:v>
      </x:c>
      <x:c r="E11" s="14" t="str">
        <x:v>2026-07-22</x:v>
      </x:c>
      <x:c r="F11" s="14" t="str">
        <x:v>Count of unique countries represented among accepted annual official observations.</x:v>
      </x:c>
      <x:c r="G11" s="14" t="str">
        <x:v>The metrics are not automatically comparable across countries.</x:v>
      </x:c>
      <x:c r="H11" s="14" t="str">
        <x:v>Confirmed</x:v>
      </x:c>
      <x:c r="I11" s="14" t="str">
        <x:v>Comparable annual device and liquid sales series are required from additional countries.</x:v>
      </x:c>
    </x:row>
    <x:row r="12" ht="55.5" customHeight="1">
      <x:c r="A12" s="14" t="str">
        <x:v>There are zero accepted official full-year national consumer-retail-value donor markets.</x:v>
      </x:c>
      <x:c r="B12" s="14" t="str">
        <x:v>Market size</x:v>
      </x:c>
      <x:c r="C12" s="14" t="str">
        <x:v>comparableFullYearMarketValueDonors = 0.</x:v>
      </x:c>
      <x:c r="D12" s="14" t="str">
        <x:v>site/data/market-values.json (modelReadiness)</x:v>
      </x:c>
      <x:c r="E12" s="14" t="str">
        <x:v>2026-07-22</x:v>
      </x:c>
      <x:c r="F12" s="14" t="str">
        <x:v>Application of the published acceptance criterion to the current evidence register.</x:v>
      </x:c>
      <x:c r="G12" s="14" t="str">
        <x:v>Shipment value, tax receipts and physical volume are not treated as consumer retail value.</x:v>
      </x:c>
      <x:c r="H12" s="14" t="str">
        <x:v>Confirmed</x:v>
      </x:c>
      <x:c r="I12" s="14" t="str">
        <x:v>At least three comparable donor markets are required, with regional and regulatory coverage.</x:v>
      </x:c>
    </x:row>
    <x:row r="13" ht="55.5" customHeight="1">
      <x:c r="A13" s="14" t="str">
        <x:v>Canada's 2024 manufacturer and importer shipment value was CAD 1.16075379678 billion.</x:v>
      </x:c>
      <x:c r="B13" s="14" t="str">
        <x:v>Market size</x:v>
      </x:c>
      <x:c r="C13" s="14" t="str">
        <x:v>The official full-year series reports shipment value to wholesalers and retailers across four reported product categories. It does not measure consumer retail purchases, and Health Canada may revise the data.</x:v>
      </x:c>
      <x:c r="D13" s="14" t="str">
        <x:v>https://health-infobase.canada.ca/substance-use/vaping/sales/</x:v>
      </x:c>
      <x:c r="E13" s="14" t="str">
        <x:v>2024</x:v>
      </x:c>
      <x:c r="F13" s="14" t="str">
        <x:v>Sum of the four reported product categories.</x:v>
      </x:c>
      <x:c r="G13" s="14" t="str">
        <x:v>Shipment value is not treated as consumer retail value.</x:v>
      </x:c>
      <x:c r="H13" s="14" t="str">
        <x:v>Confirmed</x:v>
      </x:c>
      <x:c r="I13" s="14" t="str">
        <x:v>Retail margins, channel structure and inventory movements must be reconciled.</x:v>
      </x:c>
    </x:row>
    <x:row r="14" ht="55.5" customHeight="1">
      <x:c r="A14" s="14" t="str">
        <x:v>Canada's 2024 shipments included 1,251,843 litres.</x:v>
      </x:c>
      <x:c r="B14" s="14" t="str">
        <x:v>Market size</x:v>
      </x:c>
      <x:c r="C14" s="14" t="str">
        <x:v>The total covers the reported vaporisable-substance categories. It is a physical volume, not a retail market value.</x:v>
      </x:c>
      <x:c r="D14" s="14" t="str">
        <x:v>https://health-infobase.canada.ca/substance-use/vaping/sales/</x:v>
      </x:c>
      <x:c r="E14" s="14" t="str">
        <x:v>2024</x:v>
      </x:c>
      <x:c r="F14" s="14" t="str">
        <x:v>Sum of the reported liquid-containing product categories.</x:v>
      </x:c>
      <x:c r="G14" s="14" t="str">
        <x:v>Physical volume is not treated as market value.</x:v>
      </x:c>
      <x:c r="H14" s="14" t="str">
        <x:v>Confirmed</x:v>
      </x:c>
      <x:c r="I14" s="14" t="str">
        <x:v>Product mix, average price and retail-channel evidence are required.</x:v>
      </x:c>
    </x:row>
    <x:row r="15" ht="55.5" customHeight="1">
      <x:c r="A15" s="14" t="str">
        <x:v>Germany's taxed liquid volume increased from 1.241 million litres to 1.518 million litres in 2023–2025.</x:v>
      </x:c>
      <x:c r="B15" s="14" t="str">
        <x:v>Market size</x:v>
      </x:c>
      <x:c r="C15" s="14" t="str">
        <x:v>The 2023 and 2024 observations are final, while 2025 is provisional.</x:v>
      </x:c>
      <x:c r="D15" s="14" t="str">
        <x:v>https://genesis.destatis.de/datenbank/online/statistic/73411/table/73411-0003</x:v>
      </x:c>
      <x:c r="E15" s="14" t="str">
        <x:v>2023–2025</x:v>
      </x:c>
      <x:c r="F15" s="14" t="str">
        <x:v>Direct use of the reported net quantities without extrapolation.</x:v>
      </x:c>
      <x:c r="G15" s="14" t="str">
        <x:v>The series covers taxed liquid, not devices or illicit supply.</x:v>
      </x:c>
      <x:c r="H15" s="14" t="str">
        <x:v>Confirmed</x:v>
      </x:c>
      <x:c r="I15" s="14" t="str">
        <x:v>Final 2025 data and observed retail sales are required.</x:v>
      </x:c>
    </x:row>
    <x:row r="16" ht="55.5" customHeight="1">
      <x:c r="A16" s="14" t="str">
        <x:v>German excise receipts from substitutes for tobacco were EUR 404 million in 2025, provisionally.</x:v>
      </x:c>
      <x:c r="B16" s="14" t="str">
        <x:v>Market size</x:v>
      </x:c>
      <x:c r="C16" s="14" t="str">
        <x:v>The observation is cash-basis excise revenue, not sales revenue or retail market value.</x:v>
      </x:c>
      <x:c r="D16" s="14" t="str">
        <x:v>https://genesis.destatis.de/datenbank/online/statistic/73411/table/73411-0003</x:v>
      </x:c>
      <x:c r="E16" s="14" t="str">
        <x:v>2025</x:v>
      </x:c>
      <x:c r="F16" s="14" t="str">
        <x:v>Direct use of the official cash-basis observation.</x:v>
      </x:c>
      <x:c r="G16" s="14" t="str">
        <x:v>Excise receipts are not treated as sales or retail value.</x:v>
      </x:c>
      <x:c r="H16" s="14" t="str">
        <x:v>Confirmed</x:v>
      </x:c>
      <x:c r="I16" s="14" t="str">
        <x:v>Final 2025 data and reconciliation of the product-category tax base are required.</x:v>
      </x:c>
    </x:row>
    <x:row r="17" ht="55.5" customHeight="1">
      <x:c r="A17" s="14" t="str">
        <x:v>Finland taxed 11,801.062 litres of nicotine-containing e-cigarette liquid in 2025.</x:v>
      </x:c>
      <x:c r="B17" s="14" t="str">
        <x:v>Market size</x:v>
      </x:c>
      <x:c r="C17" s="14" t="str">
        <x:v>This is an official full-year observation. The full-year value for nicotine-free liquid is suppressed. The figure is a physical volume, excludes devices and is not retail value.</x:v>
      </x:c>
      <x:c r="D17" s="14" t="str">
        <x:v>https://vero2.stat.fi/PXWeb/api/v1/en/Vero/Valmistevero/vvt_010.px</x:v>
      </x:c>
      <x:c r="E17" s="14" t="str">
        <x:v>2025</x:v>
      </x:c>
      <x:c r="F17" s="14" t="str">
        <x:v>Direct observation from the Finnish Tax Administration PXWeb table.</x:v>
      </x:c>
      <x:c r="G17" s="14" t="str">
        <x:v>The observation is not treated as the full market.</x:v>
      </x:c>
      <x:c r="H17" s="14" t="str">
        <x:v>Confirmed</x:v>
      </x:c>
      <x:c r="I17" s="14" t="str">
        <x:v>Devices, nicotine-free liquid, tax-free channels and illicit supply are missing.</x:v>
      </x:c>
    </x:row>
    <x:row r="18" ht="55.5" customHeight="1">
      <x:c r="A18" s="14" t="str">
        <x:v>Finland's nicotine-liquid excise receipts were EUR 3,540,319 in 2025.</x:v>
      </x:c>
      <x:c r="B18" s="14" t="str">
        <x:v>Market size</x:v>
      </x:c>
      <x:c r="C18" s="14" t="str">
        <x:v>This is an official full-year observation. The nicotine-free observation is suppressed. Tax receipts are not sales or retail value.</x:v>
      </x:c>
      <x:c r="D18" s="14" t="str">
        <x:v>https://vero2.stat.fi/PXWeb/api/v1/en/Vero/Valmistevero/vvt_010.px</x:v>
      </x:c>
      <x:c r="E18" s="14" t="str">
        <x:v>2025</x:v>
      </x:c>
      <x:c r="F18" s="14" t="str">
        <x:v>Direct observation from the Finnish Tax Administration PXWeb table.</x:v>
      </x:c>
      <x:c r="G18" s="14" t="str">
        <x:v>Tax receipts are not treated as consumer sales.</x:v>
      </x:c>
      <x:c r="H18" s="14" t="str">
        <x:v>Confirmed</x:v>
      </x:c>
      <x:c r="I18" s="14" t="str">
        <x:v>Observed retail sales and price evidence are required.</x:v>
      </x:c>
    </x:row>
    <x:row r="19" ht="55.5" customHeight="1">
      <x:c r="A19" s="14" t="str">
        <x:v>Poland reported 805,441 litres in 2023.</x:v>
      </x:c>
      <x:c r="B19" s="14" t="str">
        <x:v>Market size</x:v>
      </x:c>
      <x:c r="C19" s="14" t="str">
        <x:v>The official parliamentary response reports a physical volume. It excludes devices and is not an observed retail value.</x:v>
      </x:c>
      <x:c r="D19" s="14" t="str">
        <x:v>https://api.sejm.gov.pl/sejm/term10/interpellations/attachment/ATTDDEJZ5/i07255-o1.pdf</x:v>
      </x:c>
      <x:c r="E19" s="14" t="str">
        <x:v>2023</x:v>
      </x:c>
      <x:c r="F19" s="14" t="str">
        <x:v>Direct use of the amount reported in the official response.</x:v>
      </x:c>
      <x:c r="G19" s="14" t="str">
        <x:v>Coverage is interpreted within the limitations stated in the original response.</x:v>
      </x:c>
      <x:c r="H19" s="14" t="str">
        <x:v>Confirmed</x:v>
      </x:c>
      <x:c r="I19" s="14" t="str">
        <x:v>A newer series and observed retail value are required.</x:v>
      </x:c>
    </x:row>
    <x:row r="20" ht="55.5" customHeight="1">
      <x:c r="A20" s="14" t="str">
        <x:v>Poland reported PLN 993.1 million in e-liquid excise receipts for 2025.</x:v>
      </x:c>
      <x:c r="B20" s="14" t="str">
        <x:v>Market size</x:v>
      </x:c>
      <x:c r="C20" s="14" t="str">
        <x:v>The official parliamentary response reports a tax amount, not sales or retail value. The amount is separate from devices and parts.</x:v>
      </x:c>
      <x:c r="D20" s="14" t="str">
        <x:v>https://api.sejm.gov.pl/sejm/term10/interpellations/attachment/ATTDVKHSJ/i17526-o1.pdf</x:v>
      </x:c>
      <x:c r="E20" s="14" t="str">
        <x:v>2025</x:v>
      </x:c>
      <x:c r="F20" s="14" t="str">
        <x:v>Direct use of the amount reported in the official response.</x:v>
      </x:c>
      <x:c r="G20" s="14" t="str">
        <x:v>The tax amount is not treated as retail value.</x:v>
      </x:c>
      <x:c r="H20" s="14" t="str">
        <x:v>Confirmed</x:v>
      </x:c>
      <x:c r="I20" s="14" t="str">
        <x:v>Finality and reconciliation to the tax base are required.</x:v>
      </x:c>
    </x:row>
    <x:row r="21" ht="55.5" customHeight="1">
      <x:c r="A21" s="14" t="str">
        <x:v>Sweden taxed 26,000 litres of nicotine liquid in 2024.</x:v>
      </x:c>
      <x:c r="B21" s="14" t="str">
        <x:v>Market size</x:v>
      </x:c>
      <x:c r="C21" s="14" t="str">
        <x:v>Table 7.5 reports a rounded official amount. It covers nicotine liquid only, excludes devices and nicotine-free liquid, and is not retail value.</x:v>
      </x:c>
      <x:c r="D21" s="14" t="str">
        <x:v>https://www.regeringen.se/contentassets/1ed01e00001b42e5ad8d47433db63ece/berakningskonventioner_2026.pdf</x:v>
      </x:c>
      <x:c r="E21" s="14" t="str">
        <x:v>2024</x:v>
      </x:c>
      <x:c r="F21" s="14" t="str">
        <x:v>Direct use of the calculation basis stated by the government.</x:v>
      </x:c>
      <x:c r="G21" s="14" t="str">
        <x:v>The observation is not treated as the full market.</x:v>
      </x:c>
      <x:c r="H21" s="14" t="str">
        <x:v>Confirmed</x:v>
      </x:c>
      <x:c r="I21" s="14" t="str">
        <x:v>Observed retail value and device data are required.</x:v>
      </x:c>
    </x:row>
    <x:row r="22" ht="55.5" customHeight="1">
      <x:c r="A22" s="14" t="str">
        <x:v>Three commercial 2025 global estimates form a range of USD 26.0–46.32 billion.</x:v>
      </x:c>
      <x:c r="B22" s="14" t="str">
        <x:v>Market size</x:v>
      </x:c>
      <x:c r="C22" s="14" t="str">
        <x:v>IMARC reports USD 26.0 billion, Grand View Research USD 45.7 billion and Fortune Business Insights USD 46.32 billion.</x:v>
      </x:c>
      <x:c r="D22" s="14" t="str">
        <x:v>https://www.imarcgroup.com/e-cigarette-market ; https://www.grandviewresearch.com/industry-analysis/e-cigarette-vaping-market ; https://www.fortunebusinessinsights.com/e-cigarette-and-vaping-market-114882</x:v>
      </x:c>
      <x:c r="E22" s="14" t="str">
        <x:v>2025</x:v>
      </x:c>
      <x:c r="F22" s="14" t="str">
        <x:v>Minimum USD 26.0 billion; maximum USD 46.32 billion; the estimates are compared, not summed.</x:v>
      </x:c>
      <x:c r="G22" s="14" t="str">
        <x:v>The scopes and methods of the commercial estimates may not be comparable.</x:v>
      </x:c>
      <x:c r="H22" s="14" t="str">
        <x:v>Supported</x:v>
      </x:c>
      <x:c r="I22" s="14" t="str">
        <x:v>Full methodologies and a harmonised scope are required before relying on the range.</x:v>
      </x:c>
    </x:row>
    <x:row r="23" ht="55.5" customHeight="1">
      <x:c r="A23" s="14" t="str">
        <x:v>The 2025 German taxed-liquid retail-equivalent model gives a range of EUR 667.92–1,654.62 million.</x:v>
      </x:c>
      <x:c r="B23" s="14" t="str">
        <x:v>Financial model</x:v>
      </x:c>
      <x:c r="C23" s="14" t="str">
        <x:v>This is not observed sales. Provisional 2025 volume is multiplied by three individual 2026 German e-shop prices. The year mismatch, a price basket from one retailer, product-mix uncertainty and exclusions make the estimate low confidence.</x:v>
      </x:c>
      <x:c r="D23" s="14" t="str">
        <x:v>https://genesis.destatis.de/datenbank/online/statistic/73411/table/73411-0003 ; https://www.intaste.de/pfefferminz-liquid-germanflavours-liquid ; https://www.intaste.de/anstand-liquid-samurai-liquid ; https://www.intaste.de/tobacco-vanilla-nikotinsalz-revoltage-liquid</x:v>
      </x:c>
      <x:c r="E23" s="14" t="str">
        <x:v>2025 volume / 2026 prices</x:v>
      </x:c>
      <x:c r="F23" s="14" t="str">
        <x:v>volume_litres * 1000 * retail_price_eur_per_ml</x:v>
      </x:c>
      <x:c r="G23" s="14" t="str">
        <x:v>Three individual online-shop prices; input years 2025 and 2026; taxed liquid only.</x:v>
      </x:c>
      <x:c r="H23" s="14" t="str">
        <x:v>Assumption</x:v>
      </x:c>
      <x:c r="I23" s="14" t="str">
        <x:v>A representative price basket, product mix and channel margins, plus model-year 2025 prices, are required.</x:v>
      </x:c>
    </x:row>
    <x:row r="24" ht="55.5" customHeight="1">
      <x:c r="A24" s="14" t="str">
        <x:v>The atlas is not yet a lender-ready market valuation.</x:v>
      </x:c>
      <x:c r="B24" s="14" t="str">
        <x:v>Financing thesis</x:v>
      </x:c>
      <x:c r="C24" s="14" t="str">
        <x:v>research_dataset_not_valuation: most countries lack official annual device and liquid sales; market evidence is not yet linked to country-level patent status and claim charts; there is no independent IVS valuation or realised licence or damages cash flow.</x:v>
      </x:c>
      <x:c r="D24" s="14" t="str">
        <x:v>site/data/atlas.json (readiness)</x:v>
      </x:c>
      <x:c r="E24" s="14" t="str">
        <x:v>2026-07-22</x:v>
      </x:c>
      <x:c r="F24" s="14" t="str">
        <x:v>Use of the public dataset's own readiness classification.</x:v>
      </x:c>
      <x:c r="G24" s="14" t="str">
        <x:v>Market data and IP value are kept analytically separate.</x:v>
      </x:c>
      <x:c r="H24" s="14" t="str">
        <x:v>Confirmed</x:v>
      </x:c>
      <x:c r="I24" s="14" t="str">
        <x:v>Every listed blocker must be closed before drawing collateral-value or enterprise-value conclusions.</x:v>
      </x:c>
    </x:row>
    <x:row r="25" ht="55.5" customHeight="1">
      <x:c r="A25" s="14" t="str">
        <x:v>The public data does not contain an independent IVS valuation.</x:v>
      </x:c>
      <x:c r="B25" s="14" t="str">
        <x:v>Financial model</x:v>
      </x:c>
      <x:c r="C25" s="14" t="str">
        <x:v>The absence is recorded as a readiness blocker.</x:v>
      </x:c>
      <x:c r="D25" s="14" t="str">
        <x:v>site/data/atlas.json (readiness.blockers)</x:v>
      </x:c>
      <x:c r="E25" s="14" t="str">
        <x:v>2026-07-22</x:v>
      </x:c>
      <x:c r="F25" s="14" t="str">
        <x:v>Absence check against the public package.</x:v>
      </x:c>
      <x:c r="G25" s="14" t="str">
        <x:v>No assumptions.</x:v>
      </x:c>
      <x:c r="H25" s="14" t="str">
        <x:v>Missing</x:v>
      </x:c>
      <x:c r="I25" s="14" t="str">
        <x:v>Commission an independent IP valuation and, if relevant, an enterprise valuation with scenarios.</x:v>
      </x:c>
    </x:row>
    <x:row r="26" ht="55.5" customHeight="1">
      <x:c r="A26" s="14" t="str">
        <x:v>The public data does not demonstrate realised licence or damages cash flow.</x:v>
      </x:c>
      <x:c r="B26" s="14" t="str">
        <x:v>Commercialisation model</x:v>
      </x:c>
      <x:c r="C26" s="14" t="str">
        <x:v>The absence is recorded as a readiness blocker.</x:v>
      </x:c>
      <x:c r="D26" s="14" t="str">
        <x:v>site/data/atlas.json (readiness.blockers)</x:v>
      </x:c>
      <x:c r="E26" s="14" t="str">
        <x:v>2026-07-22</x:v>
      </x:c>
      <x:c r="F26" s="14" t="str">
        <x:v>Absence check against the public package.</x:v>
      </x:c>
      <x:c r="G26" s="14" t="str">
        <x:v>No assumptions.</x:v>
      </x:c>
      <x:c r="H26" s="14" t="str">
        <x:v>Missing</x:v>
      </x:c>
      <x:c r="I26" s="14" t="str">
        <x:v>Provide signed agreements, invoices, proof of payment and reconciliation of receivables.</x:v>
      </x:c>
    </x:row>
    <x:row r="27" ht="55.5" customHeight="1">
      <x:c r="A27" s="14" t="str">
        <x:v>The public data does not confirm test results or independent technical validation.</x:v>
      </x:c>
      <x:c r="B27" s="14" t="str">
        <x:v>Technical differentiation</x:v>
      </x:c>
      <x:c r="C27" s="14" t="str">
        <x:v>The patent specification describes the solution, but the package contains no separate test register.</x:v>
      </x:c>
      <x:c r="D27" s="14" t="str">
        <x:v>site/data/patent-history.json</x:v>
      </x:c>
      <x:c r="E27" s="14" t="str">
        <x:v>2026-07-22</x:v>
      </x:c>
      <x:c r="F27" s="14" t="str">
        <x:v>Absence check in relation to any technical performance claim.</x:v>
      </x:c>
      <x:c r="G27" s="14" t="str">
        <x:v>A patent publication is not treated as a product test report.</x:v>
      </x:c>
      <x:c r="H27" s="14" t="str">
        <x:v>Missing</x:v>
      </x:c>
      <x:c r="I27" s="14" t="str">
        <x:v>Provide a test protocol, independent laboratory evidence, results and raw data.</x:v>
      </x:c>
    </x:row>
    <x:row r="28" ht="55.5" customHeight="1">
      <x:c r="A28" s="14" t="str">
        <x:v>The public data does not confirm pilots or named customer evidence.</x:v>
      </x:c>
      <x:c r="B28" s="14" t="str">
        <x:v>Validation</x:v>
      </x:c>
      <x:c r="C28" s="14" t="str">
        <x:v>The public evidence register contains no validated pilot or customer evidence.</x:v>
      </x:c>
      <x:c r="D28" s="14" t="str">
        <x:v>site/data/evidence.csv</x:v>
      </x:c>
      <x:c r="E28" s="14" t="str">
        <x:v>2026-07-22</x:v>
      </x:c>
      <x:c r="F28" s="14" t="str">
        <x:v>Absence check against the public evidence register.</x:v>
      </x:c>
      <x:c r="G28" s="14" t="str">
        <x:v>No company-level customer or pilot evidence is inferred.</x:v>
      </x:c>
      <x:c r="H28" s="14" t="str">
        <x:v>Missing</x:v>
      </x:c>
      <x:c r="I28" s="14" t="str">
        <x:v>Provide signed pilot documents, delivery evidence, customer references and usage data.</x:v>
      </x:c>
    </x:row>
    <x:row r="29" ht="55.5" customHeight="1">
      <x:c r="A29" s="14" t="str">
        <x:v>The public data does not confirm current country-level title, renewal-fee status or absence of encumbrances across the family.</x:v>
      </x:c>
      <x:c r="B29" s="14" t="str">
        <x:v>IP status</x:v>
      </x:c>
      <x:c r="C29" s="14" t="str">
        <x:v>Family publications do not establish current national post-grant status.</x:v>
      </x:c>
      <x:c r="D29" s="14" t="str">
        <x:v>https://register.epo.org/application?number=EP14836345&amp;lng=en&amp;tab=family ; https://register.epo.org/application?number=EP14836345&amp;lng=en&amp;tab=legal ; https://www.epo.org/en/applying/european/validation</x:v>
      </x:c>
      <x:c r="E29" s="14" t="str">
        <x:v>2026-07-22</x:v>
      </x:c>
      <x:c r="F29" s="14" t="str">
        <x:v>Identification of the legal due-diligence limitation.</x:v>
      </x:c>
      <x:c r="G29" s="14" t="str">
        <x:v>Checks in four registers do not establish status across the full family.</x:v>
      </x:c>
      <x:c r="H29" s="14" t="str">
        <x:v>Missing</x:v>
      </x:c>
      <x:c r="I29" s="14" t="str">
        <x:v>Provide a counsel-signed country matrix, current official extracts, renewal receipts and encumbrance evidence.</x:v>
      </x:c>
    </x:row>
    <x:row r="30" ht="55.5" customHeight="1">
      <x:c r="A30" s="14" t="str">
        <x:v>The public data contains no country-specific product-to-claim mappings.</x:v>
      </x:c>
      <x:c r="B30" s="14" t="str">
        <x:v>Technical differentiation</x:v>
      </x:c>
      <x:c r="C30" s="14" t="str">
        <x:v>The published guardrail requires a counsel-reviewed claim chart before infringement conclusions.</x:v>
      </x:c>
      <x:c r="D30" s="14" t="str">
        <x:v>https://data.epo.org/publication-server/rest/v1.2/patents/EP3032975NWB2/document.pdf ; https://www.gesetze-bayern.de/Content/Document/Y-300-Z-BECKRS-B-2026-N-14206</x:v>
      </x:c>
      <x:c r="E30" s="14" t="str">
        <x:v>2026-07-22</x:v>
      </x:c>
      <x:c r="F30" s="14" t="str">
        <x:v>Absence check for product-feature mapping to operative claim limitations.</x:v>
      </x:c>
      <x:c r="G30" s="14" t="str">
        <x:v>Product similarity is not treated as evidence of infringement.</x:v>
      </x:c>
      <x:c r="H30" s="14" t="str">
        <x:v>Missing</x:v>
      </x:c>
      <x:c r="I30" s="14" t="str">
        <x:v>Obtain identified products, chain of custody, teardown evidence and counsel-reviewed claim charts.</x:v>
      </x:c>
    </x:row>
    <x:row r="31" ht="55.5" customHeight="1">
      <x:c r="A31" s="14" t="str">
        <x:v>Total market value is not automatically the royalty base.</x:v>
      </x:c>
      <x:c r="B31" s="14" t="str">
        <x:v>Financial model</x:v>
      </x:c>
      <x:c r="C31" s="14" t="str">
        <x:v>The valuation framework separates total market, addressable sales and cash flow.</x:v>
      </x:c>
      <x:c r="D31" s="14" t="str">
        <x:v>https://www.wipo.int/en/web/business/ip-valuation</x:v>
      </x:c>
      <x:c r="E31" s="14" t="str">
        <x:v>2026-07-22</x:v>
      </x:c>
      <x:c r="F31" s="14" t="str">
        <x:v>Application of the valuation boundary stated in the framework.</x:v>
      </x:c>
      <x:c r="G31" s="14" t="str">
        <x:v>A royalty base requires geographic, temporal and product-level relevance to the claims.</x:v>
      </x:c>
      <x:c r="H31" s="14" t="str">
        <x:v>Confirmed</x:v>
      </x:c>
      <x:c r="I31" s="14" t="str">
        <x:v>Build a bridge from total market to addressable, in-scope and claim-mapped sales.</x:v>
      </x:c>
    </x:row>
    <x:row r="32" ht="55.5" customHeight="1">
      <x:c r="A32" s="14" t="str">
        <x:v>Patent value, enterprise value, equity value and collateral value are distinct metrics.</x:v>
      </x:c>
      <x:c r="B32" s="14" t="str">
        <x:v>Financing thesis</x:v>
      </x:c>
      <x:c r="C32" s="14" t="str">
        <x:v>WIPO valuation and IP-financing frameworks, together with the published guardrail, require the value concepts to be separated.</x:v>
      </x:c>
      <x:c r="D32" s="14" t="str">
        <x:v>https://www.wipo.int/en/web/business/ip-valuation ; https://www.wipo.int/en/web/ip-financing</x:v>
      </x:c>
      <x:c r="E32" s="14" t="str">
        <x:v>2026-07-22</x:v>
      </x:c>
      <x:c r="F32" s="14" t="str">
        <x:v>Analytical separation of the value concepts.</x:v>
      </x:c>
      <x:c r="G32" s="14" t="str">
        <x:v>No assumptions.</x:v>
      </x:c>
      <x:c r="H32" s="14" t="str">
        <x:v>Confirmed</x:v>
      </x:c>
      <x:c r="I32" s="14" t="str">
        <x:v>Separate legal and economic analysis is required for each value concept.</x:v>
      </x:c>
    </x:row>
    <x:row r="33" ht="55.5" customHeight="1">
      <x:c r="A33" s="14" t="str">
        <x:v>A counsel-led limited licensing or settlement pilot is a possible commercialisation hypothesis.</x:v>
      </x:c>
      <x:c r="B33" s="14" t="str">
        <x:v>Commercialisation model</x:v>
      </x:c>
      <x:c r="C33" s="14" t="str">
        <x:v>The proposed route uses staged hard gates, claim charts and auditable outreach.</x:v>
      </x:c>
      <x:c r="D33" s="14" t="str">
        <x:v>https://www.wipo.int/ja/web/business/assignment-licensing ; https://www.wipo.int/en/web/business/settle-ip-disputes ; https://www.epo.org/en/searching-for-patents/business/ipscore</x:v>
      </x:c>
      <x:c r="E33" s="14" t="str">
        <x:v>2026-07-22</x:v>
      </x:c>
      <x:c r="F33" s="14" t="str">
        <x:v>A proposed hypothesis, not evidence of realised commercialisation.</x:v>
      </x:c>
      <x:c r="G33" s="14" t="str">
        <x:v>Targets would be selected only after legal and evidence gates are satisfied.</x:v>
      </x:c>
      <x:c r="H33" s="14" t="str">
        <x:v>Assumption</x:v>
      </x:c>
      <x:c r="I33" s="14" t="str">
        <x:v>Management and patent-counsel approval are required, and cost, responses and terms must be documented.</x:v>
      </x:c>
    </x:row>
    <x:row r="34" ht="55.5" customHeight="1">
      <x:c r="A34" s="14" t="str">
        <x:v>Patent-backed financing should be assessed only on the basis of confirmed rights and cash flows.</x:v>
      </x:c>
      <x:c r="B34" s="14" t="str">
        <x:v>Financing thesis</x:v>
      </x:c>
      <x:c r="C34" s="14" t="str">
        <x:v>WIPO IP Finance and phase 5 of the patent history.</x:v>
      </x:c>
      <x:c r="D34" s="14" t="str">
        <x:v>https://www.wipo.int/en/web/ip-financing ; https://www.wipo.int/en/web/business/ip-valuation</x:v>
      </x:c>
      <x:c r="E34" s="14" t="str">
        <x:v>2026-07-22</x:v>
      </x:c>
      <x:c r="F34" s="14" t="str">
        <x:v>Financing principle.</x:v>
      </x:c>
      <x:c r="G34" s="14" t="str">
        <x:v>The current material does not demonstrate an existing collateral value.</x:v>
      </x:c>
      <x:c r="H34" s="14" t="str">
        <x:v>Supported</x:v>
      </x:c>
      <x:c r="I34" s="14" t="str">
        <x:v>Independent valuation, rights due diligence, realised or contracted cash flow and downside analysis are required.</x:v>
      </x:c>
    </x:row>
    <x:row r="35" ht="55.5" customHeight="1">
      <x:c r="A35" s="14" t="str">
        <x:v>The next Australian renewal must be confirmed immediately.</x:v>
      </x:c>
      <x:c r="B35" s="14" t="str">
        <x:v>Risks</x:v>
      </x:c>
      <x:c r="C35" s="14" t="str">
        <x:v>The official API records the patent as GRANTED, the latest renewal on 18 July 2025 and an in-force date of 14 August 2026.</x:v>
      </x:c>
      <x:c r="D35" s="14" t="str">
        <x:v>https://production.api.ipaustralia.gov.au/public/ipright-search-api/v1/patents/2014307829</x:v>
      </x:c>
      <x:c r="E35" s="14" t="str">
        <x:v>2026-08-14</x:v>
      </x:c>
      <x:c r="F35" s="14" t="str">
        <x:v>Diligence alert derived directly from the official API record.</x:v>
      </x:c>
      <x:c r="G35" s="14" t="str">
        <x:v>The recorded in-force-through date is not asserted to be the statutory payment deadline.</x:v>
      </x:c>
      <x:c r="H35" s="14" t="str">
        <x:v>Confirmed</x:v>
      </x:c>
      <x:c r="I35" s="14" t="str">
        <x:v>The patent administrator or Australian counsel must confirm the statutory date, amount, authority and payment, and archive the receipt and current extract.</x:v>
      </x:c>
    </x:row>
    <x:row r="36" ht="55.5" customHeight="1">
      <x:c r="A36" s="14" t="str">
        <x:v>The Finnish register records the 14th-year fee as due on 31 August 2026.</x:v>
      </x:c>
      <x:c r="B36" s="14" t="str">
        <x:v>Risks</x:v>
      </x:c>
      <x:c r="C36" s="14" t="str">
        <x:v>PRH records the 14th-year EUR 670 fee as due on 31 August 2026, with a late-payment period through 28 February 2027.</x:v>
      </x:c>
      <x:c r="D36" s="14" t="str">
        <x:v>https://patenttitietopalvelu.prh.fi/en/patent/20135829</x:v>
      </x:c>
      <x:c r="E36" s="14" t="str">
        <x:v>2026-08-31</x:v>
      </x:c>
      <x:c r="F36" s="14" t="str">
        <x:v>Direct observation from the official register.</x:v>
      </x:c>
      <x:c r="G36" s="14" t="str">
        <x:v>The ordinary deadline is the target rather than the late-payment period.</x:v>
      </x:c>
      <x:c r="H36" s="14" t="str">
        <x:v>Confirmed</x:v>
      </x:c>
      <x:c r="I36" s="14" t="str">
        <x:v>Pay by the ordinary deadline and archive the receipt and updated register extract.</x:v>
      </x:c>
    </x:row>
    <x:row r="37" ht="55.5" customHeight="1">
      <x:c r="A37" s="14" t="str">
        <x:v>The US 7.5-year maintenance-fee status must be confirmed.</x:v>
      </x:c>
      <x:c r="B37" s="14" t="str">
        <x:v>Risks</x:v>
      </x:c>
      <x:c r="C37" s="14" t="str">
        <x:v>The official route shows that the no-surcharge window ends on 4 December 2026. Payment was not independently confirmed from the reviewed public material.</x:v>
      </x:c>
      <x:c r="D37" s="14" t="str">
        <x:v>https://fees.uspto.gov/MaintenanceFees/fees/details?patentNumber=10306923 ; https://patentcenter.uspto.gov/applications/14911851 ; https://assignment.uspto.gov/patent/index.html#/patent/search/resultFilter?searchInput=10306923</x:v>
      </x:c>
      <x:c r="E37" s="14" t="str">
        <x:v>2026-12-04</x:v>
      </x:c>
      <x:c r="F37" s="14" t="str">
        <x:v>Check of the official maintenance-fee window.</x:v>
      </x:c>
      <x:c r="G37" s="14" t="str">
        <x:v>The public record reviewed here does not establish whether the fee has been paid or remains unpaid.</x:v>
      </x:c>
      <x:c r="H37" s="14" t="str">
        <x:v>Confirmed</x:v>
      </x:c>
      <x:c r="I37" s="14" t="str">
        <x:v>US counsel must confirm entity status, amount and payment, and archive receipts and assignment records.</x:v>
      </x:c>
    </x:row>
    <x:row r="38" ht="55.5" customHeight="1">
      <x:c r="A38" s="14" t="str">
        <x:v>The public data lacks audited historical financial statements and a cash-flow forecast.</x:v>
      </x:c>
      <x:c r="B38" s="14" t="str">
        <x:v>Financial model</x:v>
      </x:c>
      <x:c r="C38" s="14" t="str">
        <x:v>The market and patent dataset does not contain company financial statements.</x:v>
      </x:c>
      <x:c r="D38" s="14" t="str">
        <x:v>Public package scope</x:v>
      </x:c>
      <x:c r="E38" s="14" t="str">
        <x:v>2026-07-22</x:v>
      </x:c>
      <x:c r="F38" s="14" t="str">
        <x:v>Absence check against the scope of the public package.</x:v>
      </x:c>
      <x:c r="G38" s="14" t="str">
        <x:v>No company-level financial conclusion is drawn.</x:v>
      </x:c>
      <x:c r="H38" s="14" t="str">
        <x:v>Missing</x:v>
      </x:c>
      <x:c r="I38" s="14" t="str">
        <x:v>Provide 3–5 years of financial statements, the current general ledger, budget, cash-flow forecast, debt schedule and tax-debt certificate.</x:v>
      </x:c>
    </x:row>
    <x:row r="39" ht="55.5" customHeight="1">
      <x:c r="A39" s="14" t="str">
        <x:v>The public data does not specify the funding need, use of funds or repayment source.</x:v>
      </x:c>
      <x:c r="B39" s="14" t="str">
        <x:v>Financing thesis</x:v>
      </x:c>
      <x:c r="C39" s="14" t="str">
        <x:v>The public package does not state the requested amount, intended use or repayment structure.</x:v>
      </x:c>
      <x:c r="D39" s="14" t="str">
        <x:v>Public package scope</x:v>
      </x:c>
      <x:c r="E39" s="14" t="str">
        <x:v>2026-07-22</x:v>
      </x:c>
      <x:c r="F39" s="14" t="str">
        <x:v>Absence check against the scope of the public package.</x:v>
      </x:c>
      <x:c r="G39" s="14" t="str">
        <x:v>No amount, maturity or security package is assumed.</x:v>
      </x:c>
      <x:c r="H39" s="14" t="str">
        <x:v>Missing</x:v>
      </x:c>
      <x:c r="I39" s="14" t="str">
        <x:v>Provide the amount, use of funds, maturity, amortisation, repayment source and proposed covenants.</x:v>
      </x:c>
    </x:row>
    <x:row r="40" ht="55.5" customHeight="1">
      <x:c r="A40" s="14" t="str">
        <x:v>The public data does not show the share capital, cap table or share encumbrances.</x:v>
      </x:c>
      <x:c r="B40" s="14" t="str">
        <x:v>Financing thesis</x:v>
      </x:c>
      <x:c r="C40" s="14" t="str">
        <x:v>The public package is limited to market and patent material.</x:v>
      </x:c>
      <x:c r="D40" s="14" t="str">
        <x:v>Public package scope</x:v>
      </x:c>
      <x:c r="E40" s="14" t="str">
        <x:v>2026-07-22</x:v>
      </x:c>
      <x:c r="F40" s="14" t="str">
        <x:v>Absence check against the scope of the public package.</x:v>
      </x:c>
      <x:c r="G40" s="14" t="str">
        <x:v>No conclusion is drawn about ownership or vulnerability to competing claims.</x:v>
      </x:c>
      <x:c r="H40" s="14" t="str">
        <x:v>Missing</x:v>
      </x:c>
      <x:c r="I40" s="14" t="str">
        <x:v>Provide a certified shareholder register, articles, resolutions and a share-pledge and encumbrance statement in a closed data room.</x:v>
      </x:c>
    </x:row>
    <x:row r="41" ht="55.5" customHeight="1">
      <x:c r="A41" s="14" t="str">
        <x:v>The public data lacks a comparable analysis of competitors and alternatives.</x:v>
      </x:c>
      <x:c r="B41" s="14" t="str">
        <x:v>Competition</x:v>
      </x:c>
      <x:c r="C41" s="14" t="str">
        <x:v>Patent and case materials are not a competition map.</x:v>
      </x:c>
      <x:c r="D41" s="14" t="str">
        <x:v>site/data/patent-history.json</x:v>
      </x:c>
      <x:c r="E41" s="14" t="str">
        <x:v>2026-07-22</x:v>
      </x:c>
      <x:c r="F41" s="14" t="str">
        <x:v>Absence check against the public package.</x:v>
      </x:c>
      <x:c r="G41" s="14" t="str">
        <x:v>Competition is kept separate from patent overlap and from non-patented alternatives.</x:v>
      </x:c>
      <x:c r="H41" s="14" t="str">
        <x:v>Missing</x:v>
      </x:c>
      <x:c r="I41" s="14" t="str">
        <x:v>Map products, manufacturers, technologies, patent families, prices and claim-map status.</x:v>
      </x:c>
    </x:row>
    <x:row r="42" ht="55.5" customHeight="1">
      <x:c r="A42" s="14" t="str">
        <x:v>Manufacturers, technology providers and IP financiers are preliminary customer segments.</x:v>
      </x:c>
      <x:c r="B42" s="14" t="str">
        <x:v>Customers</x:v>
      </x:c>
      <x:c r="C42" s="14" t="str">
        <x:v>The reviewed commercialisation routes include licensing, assignment and IP finance.</x:v>
      </x:c>
      <x:c r="D42" s="14" t="str">
        <x:v>https://www.wipo.int/ja/web/business/assignment-licensing ; https://www.wipo.int/en/web/ip-financing</x:v>
      </x:c>
      <x:c r="E42" s="14" t="str">
        <x:v>2026-07-22</x:v>
      </x:c>
      <x:c r="F42" s="14" t="str">
        <x:v>Preliminary segmentation hypothesis based on the identified commercialisation routes.</x:v>
      </x:c>
      <x:c r="G42" s="14" t="str">
        <x:v>There is no verified purchase intent or validated customer base.</x:v>
      </x:c>
      <x:c r="H42" s="14" t="str">
        <x:v>Assumption</x:v>
      </x:c>
      <x:c r="I42" s="14" t="str">
        <x:v>Validate the segments through 10–15 structured buyer and financier interviews and document their purchase criteria.</x:v>
      </x:c>
    </x:row>
    <x:row r="43" ht="55.5" customHeight="1">
      <x:c r="A43" s="14" t="str">
        <x:v>The German decisions can serve as an evidence anchor, not as a worldwide infringement determination.</x:v>
      </x:c>
      <x:c r="B43" s="14" t="str">
        <x:v>Financing thesis</x:v>
      </x:c>
      <x:c r="C43" s="14" t="str">
        <x:v>The decisions are limited to a country, products, parties and period.</x:v>
      </x:c>
      <x:c r="D43" s="14" t="str">
        <x:v>https://www.rechtsprechung-im-internet.de/jportal/?quelle=jlink&amp;docid=JURE269032275&amp;psml=bsjrsprod.psml ; https://www.gesetze-bayern.de/Content/Document/Y-300-Z-BECKRS-B-2026-N-14206</x:v>
      </x:c>
      <x:c r="E43" s="14" t="str">
        <x:v>2026-07-22</x:v>
      </x:c>
      <x:c r="F43" s="14" t="str">
        <x:v>Application of the territorial and case-specific limits of the decisions.</x:v>
      </x:c>
      <x:c r="G43" s="14" t="str">
        <x:v>Other countries depend on local rights and the products examined there.</x:v>
      </x:c>
      <x:c r="H43" s="14" t="str">
        <x:v>Confirmed</x:v>
      </x:c>
      <x:c r="I43" s="14" t="str">
        <x:v>Country-specific legal and claim packages are required before outreach.</x:v>
      </x:c>
    </x:row>
    <x:row r="44" ht="55.5" customHeight="1">
      <x:c r="A44" s="14" t="str">
        <x:v>Five countries are graded A and 158 countries are graded D.</x:v>
      </x:c>
      <x:c r="B44" s="14" t="str">
        <x:v>Market size</x:v>
      </x:c>
      <x:c r="C44" s="14" t="str">
        <x:v>Classes: A 5, B 13, C 19, D 158.</x:v>
      </x:c>
      <x:c r="D44" s="14" t="str">
        <x:v>site/data/atlas.json (summary.gradeCounts)</x:v>
      </x:c>
      <x:c r="E44" s="14" t="str">
        <x:v>2026-07-22</x:v>
      </x:c>
      <x:c r="F44" s="14" t="str">
        <x:v>Count of countries in each evidence grade.</x:v>
      </x:c>
      <x:c r="G44" s="14" t="str">
        <x:v>Evidence maturity is not treated as market attractiveness.</x:v>
      </x:c>
      <x:c r="H44" s="14" t="str">
        <x:v>Confirmed</x:v>
      </x:c>
      <x:c r="I44" s="14" t="str">
        <x:v>Prioritise Grade D data requests by economic size, patent relevance and regulatory fit.</x:v>
      </x:c>
    </x:row>
    <x:row r="45" ht="55.5" customHeight="1">
      <x:c r="A45" s="14" t="str">
        <x:v>No global atlas estimate has been approved for publication.</x:v>
      </x:c>
      <x:c r="B45" s="14" t="str">
        <x:v>Market size</x:v>
      </x:c>
      <x:c r="C45" s="14" t="str">
        <x:v>Zero comparable retail-value donor markets is below the minimum threshold of three donor markets.</x:v>
      </x:c>
      <x:c r="D45" s="14" t="str">
        <x:v>site/data/market-values.json (modelReadiness)</x:v>
      </x:c>
      <x:c r="E45" s="14" t="str">
        <x:v>2026-07-22</x:v>
      </x:c>
      <x:c r="F45" s="14" t="str">
        <x:v>Hard gate: at least three compatible donor markets plus regional validation.</x:v>
      </x:c>
      <x:c r="G45" s="14" t="str">
        <x:v>Commercial global estimates are used only as a reasonableness-check range.</x:v>
      </x:c>
      <x:c r="H45" s="14" t="str">
        <x:v>Confirmed</x:v>
      </x:c>
      <x:c r="I45" s="14" t="str">
        <x:v>Do not publish a single global value before the methodology gates are met.</x:v>
      </x:c>
    </x:row>
    <x:row r="46" ht="55.5" customHeight="1">
      <x:c r="A46" s="15" t="str">
        <x:v>A high-confidence financing package requires a closed data room alongside the public package.</x:v>
      </x:c>
      <x:c r="B46" s="15" t="str">
        <x:v>Next steps</x:v>
      </x:c>
      <x:c r="C46" s="15" t="str">
        <x:v>The public package documents sources and gaps but does not contain confidential financial, contractual or complete title evidence.</x:v>
      </x:c>
      <x:c r="D46" s="15" t="str">
        <x:v>Public package scope</x:v>
      </x:c>
      <x:c r="E46" s="15" t="str">
        <x:v>2026-07-22</x:v>
      </x:c>
      <x:c r="F46" s="15" t="str">
        <x:v>Recommendation based on the due-diligence architecture required by the identified gaps.</x:v>
      </x:c>
      <x:c r="G46" s="15" t="str">
        <x:v>Access would be restricted and logged.</x:v>
      </x:c>
      <x:c r="H46" s="15" t="str">
        <x:v>Supported</x:v>
      </x:c>
      <x:c r="I46" s="15" t="str">
        <x:v>Create an indexed data room with Corporate, IP, Legal, Commercial, Finance, Valuation and Security sections.</x:v>
      </x:c>
    </x:row>
  </x:sheetData>
  <x:conditionalFormatting sqref="H2:H46">
    <x:cfRule type="containsText" dxfId="0" priority="1" operator="containsText" text="Confirmed"/>
    <x:cfRule type="containsText" dxfId="1" priority="2" operator="containsText" text="Supported"/>
    <x:cfRule type="containsText" dxfId="2" priority="3" operator="containsText" text="Assumption"/>
    <x:cfRule type="containsText" dxfId="3" priority="4" operator="containsText" text="Missing"/>
  </x:conditionalFormatting>
  <x:dataValidations count="1">
    <x:dataValidation type="list" sqref="H2:H46">
      <x:formula1>"Confirmed,Supported,Assumption,Missing"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23d572179044f0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329999923706055" hidden="0" customWidth="1"/>
    <x:col min="2" max="2" width="80" hidden="0" customWidth="1"/>
    <x:col min="3" max="3" width="8.890000343322754" hidden="0" customWidth="1"/>
    <x:col min="4" max="4" width="8.890000343322754" hidden="0" customWidth="1"/>
    <x:col min="5" max="5" width="8.890000343322754" hidden="0" customWidth="1"/>
    <x:col min="6" max="6" width="8.890000343322754" hidden="0" customWidth="1"/>
    <x:col min="7" max="7" width="8.890000343322754" hidden="0" customWidth="1"/>
    <x:col min="8" max="8" width="8.890000343322754" hidden="0" customWidth="1"/>
  </x:cols>
  <x:sheetData>
    <x:row r="1" ht="25.5" customHeight="1">
      <x:c r="A1" s="17" t="str">
        <x:v>Pixan · public evidence package summary</x:v>
      </x:c>
      <x:c r="B1" s="17"/>
      <x:c r="C1" s="17"/>
      <x:c r="D1" s="17"/>
      <x:c r="E1" s="17"/>
      <x:c r="F1" s="17"/>
      <x:c r="G1" s="17"/>
      <x:c r="H1" s="17"/>
    </x:row>
    <x:row r="2" ht="25.5" customHeight="1">
      <x:c r="A2" s="17"/>
      <x:c r="B2" s="17"/>
      <x:c r="C2" s="17"/>
      <x:c r="D2" s="17"/>
      <x:c r="E2" s="17"/>
      <x:c r="F2" s="17"/>
      <x:c r="G2" s="17"/>
      <x:c r="H2" s="17"/>
    </x:row>
    <x:row r="3" ht="28.5" customHeight="1">
      <x:c r="A3" s="22" t="str">
        <x:v>Independent public evidence summary. Not Pixan Oy's official position; not an audit, valuation, legal opinion, investment recommendation or lending recommendation.</x:v>
      </x:c>
      <x:c r="B3" s="22"/>
      <x:c r="C3" s="22"/>
      <x:c r="D3" s="22"/>
      <x:c r="E3" s="22"/>
      <x:c r="F3" s="22"/>
      <x:c r="G3" s="22"/>
      <x:c r="H3" s="22"/>
    </x:row>
    <x:row r="5" ht="20.25" customHeight="1">
      <x:c r="A5" s="25" t="str">
        <x:v>Version</x:v>
      </x:c>
      <x:c r="B5" s="13" t="str">
        <x:v>2026.07.23-11</x:v>
      </x:c>
    </x:row>
    <x:row r="6" ht="20.25" customHeight="1">
      <x:c r="A6" s="25" t="str">
        <x:v>Updated</x:v>
      </x:c>
      <x:c r="B6" s="14" t="str">
        <x:v>2026-07-22</x:v>
      </x:c>
    </x:row>
    <x:row r="7" ht="31.5" customHeight="1">
      <x:c r="A7" s="25" t="str">
        <x:v>Scope</x:v>
      </x:c>
      <x:c r="B7" s="14" t="str">
        <x:v>Public and independent evidence summary; facts, calculations, interpretations and assumptions are separated.</x:v>
      </x:c>
    </x:row>
    <x:row r="8" ht="20.25" customHeight="1">
      <x:c r="A8" s="25" t="str">
        <x:v>Evidence rows</x:v>
      </x:c>
      <x:c r="B8" s="15" t="n">
        <x:v>45</x:v>
      </x:c>
    </x:row>
    <x:row r="9" ht="20.25" customHeight="1"/>
    <x:row r="10" ht="20.25" customHeight="1">
      <x:c r="A10" s="27" t="str">
        <x:v>Evidence distribution</x:v>
      </x:c>
      <x:c r="B10" s="27"/>
    </x:row>
    <x:row r="11" ht="20.25" customHeight="1">
      <x:c r="A11" s="32" t="str">
        <x:v>Confirmed</x:v>
      </x:c>
      <x:c r="B11" s="13" t="n">
        <x:v>27</x:v>
      </x:c>
    </x:row>
    <x:row r="12" ht="20.25" customHeight="1">
      <x:c r="A12" s="33" t="str">
        <x:v>Supported</x:v>
      </x:c>
      <x:c r="B12" s="14" t="n">
        <x:v>5</x:v>
      </x:c>
    </x:row>
    <x:row r="13" ht="20.25" customHeight="1">
      <x:c r="A13" s="34" t="str">
        <x:v>Assumption</x:v>
      </x:c>
      <x:c r="B13" s="14" t="n">
        <x:v>3</x:v>
      </x:c>
    </x:row>
    <x:row r="14" ht="20.25" customHeight="1">
      <x:c r="A14" s="35" t="str">
        <x:v>Missing</x:v>
      </x:c>
      <x:c r="B14" s="15" t="n">
        <x:v>10</x:v>
      </x:c>
    </x:row>
    <x:row r="15" ht="20.25" customHeight="1"/>
    <x:row r="16" ht="20.25" customHeight="1"/>
    <x:row r="17" ht="20.25" customHeight="1">
      <x:c r="A17" s="27" t="str">
        <x:v>Three strongest financing grounds</x:v>
      </x:c>
      <x:c r="B17" s="27"/>
    </x:row>
    <x:row r="18" ht="28.5" customHeight="1">
      <x:c r="A18" s="13" t="n">
        <x:v>1</x:v>
      </x:c>
      <x:c r="B18" s="13" t="str">
        <x:v>EPO maintained the patent in amended form, and the B2 publication is traceable to official records.</x:v>
      </x:c>
    </x:row>
    <x:row r="19" ht="28.5" customHeight="1">
      <x:c r="A19" s="14" t="n">
        <x:v>2</x:v>
      </x:c>
      <x:c r="B19" s="14" t="str">
        <x:v>Germany provides official nullity and infringement decisions within clearly stated limits.</x:v>
      </x:c>
    </x:row>
    <x:row r="20" ht="28.5" customHeight="1">
      <x:c r="A20" s="15" t="n">
        <x:v>3</x:v>
      </x:c>
      <x:c r="B20" s="15" t="str">
        <x:v>The public market evidence visibly separates official observations, proxies, models and gaps.</x:v>
      </x:c>
    </x:row>
    <x:row r="21" ht="20.25" customHeight="1"/>
    <x:row r="22" ht="20.25" customHeight="1"/>
    <x:row r="23" ht="20.25" customHeight="1">
      <x:c r="A23" s="27" t="str">
        <x:v>Four corrections required for lender readiness</x:v>
      </x:c>
      <x:c r="B23" s="27"/>
    </x:row>
    <x:row r="24" ht="27" customHeight="1">
      <x:c r="A24" s="13" t="n">
        <x:v>1</x:v>
      </x:c>
      <x:c r="B24" s="13" t="str">
        <x:v>Counsel-signed rights, title, encumbrance and fee-payment matrix.</x:v>
      </x:c>
    </x:row>
    <x:row r="25" ht="27" customHeight="1">
      <x:c r="A25" s="14" t="n">
        <x:v>2</x:v>
      </x:c>
      <x:c r="B25" s="14" t="str">
        <x:v>Independent tests and claim charts for prioritised products.</x:v>
      </x:c>
    </x:row>
    <x:row r="26" ht="27" customHeight="1">
      <x:c r="A26" s="14" t="n">
        <x:v>3</x:v>
      </x:c>
      <x:c r="B26" s="14" t="str">
        <x:v>Realised or contract-based cash flow and audited financial information.</x:v>
      </x:c>
    </x:row>
    <x:row r="27" ht="27" customHeight="1">
      <x:c r="A27" s="15" t="n">
        <x:v>4</x:v>
      </x:c>
      <x:c r="B27" s="15" t="str">
        <x:v>Independent valuation and downside collateral analysis.</x:v>
      </x:c>
    </x:row>
  </x:sheetData>
  <x:mergeCells>
    <x:mergeCell ref="A1:H2"/>
    <x:mergeCell ref="A3:H3"/>
    <x:mergeCell ref="A10:B10"/>
    <x:mergeCell ref="A17:B17"/>
    <x:mergeCell ref="A23:B2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109999656677246" hidden="0" customWidth="1"/>
    <x:col min="2" max="2" width="47.779998779296875" hidden="0" customWidth="1"/>
    <x:col min="3" max="3" width="44.439998626708984" hidden="0" customWidth="1"/>
    <x:col min="4" max="4" width="25.559999465942383" hidden="0" customWidth="1"/>
  </x:cols>
  <x:sheetData>
    <x:row r="1" ht="31.5" customHeight="1">
      <x:c r="A1" s="5" t="str">
        <x:v>Priority</x:v>
      </x:c>
      <x:c r="B1" s="5" t="str">
        <x:v>Likely question</x:v>
      </x:c>
      <x:c r="C1" s="5" t="str">
        <x:v>Required evidence</x:v>
      </x:c>
      <x:c r="D1" s="5" t="str">
        <x:v>Current status</x:v>
      </x:c>
    </x:row>
    <x:row r="2" ht="40.5" customHeight="1">
      <x:c r="A2" s="13" t="n">
        <x:v>1</x:v>
      </x:c>
      <x:c r="B2" s="13" t="str">
        <x:v>What exactly is owned, and where is the right enforceable?</x:v>
      </x:c>
      <x:c r="C2" s="13" t="str">
        <x:v>Country-specific rights matrix</x:v>
      </x:c>
      <x:c r="D2" s="13" t="str">
        <x:v>Missing comprehensively</x:v>
      </x:c>
    </x:row>
    <x:row r="3" ht="40.5" customHeight="1">
      <x:c r="A3" s="14" t="n">
        <x:v>2</x:v>
      </x:c>
      <x:c r="B3" s="14" t="str">
        <x:v>Which product satisfies which claim limitations?</x:v>
      </x:c>
      <x:c r="C3" s="14" t="str">
        <x:v>Independent test and claim chart</x:v>
      </x:c>
      <x:c r="D3" s="14" t="str">
        <x:v>Limited German evidence</x:v>
      </x:c>
    </x:row>
    <x:row r="4" ht="40.5" customHeight="1">
      <x:c r="A4" s="14" t="n">
        <x:v>3</x:v>
      </x:c>
      <x:c r="B4" s="14" t="str">
        <x:v>What are the verified relevant sales?</x:v>
      </x:c>
      <x:c r="C4" s="14" t="str">
        <x:v>Product–country–period net sales</x:v>
      </x:c>
      <x:c r="D4" s="14" t="str">
        <x:v>Missing</x:v>
      </x:c>
    </x:row>
    <x:row r="5" ht="40.5" customHeight="1">
      <x:c r="A5" s="14" t="n">
        <x:v>4</x:v>
      </x:c>
      <x:c r="B5" s="14" t="str">
        <x:v>From where and when does debt-service cash arise?</x:v>
      </x:c>
      <x:c r="C5" s="14" t="str">
        <x:v>Contracts, payments and forecast</x:v>
      </x:c>
      <x:c r="D5" s="14" t="str">
        <x:v>Missing</x:v>
      </x:c>
    </x:row>
    <x:row r="6" ht="40.5" customHeight="1">
      <x:c r="A6" s="15" t="n">
        <x:v>5</x:v>
      </x:c>
      <x:c r="B6" s="15" t="str">
        <x:v>What does the collateral realise in a downside case?</x:v>
      </x:c>
      <x:c r="C6" s="15" t="str">
        <x:v>Independent valuation and realisation path</x:v>
      </x:c>
      <x:c r="D6" s="15" t="str">
        <x:v>Missing</x:v>
      </x:c>
    </x:row>
  </x:sheetData>
  <x:pageMargins left="0.7" right="0.7" top="0.75" bottom="0.75" header="0.3" footer="0.3"/>
  <x:tableParts count="1">
    <x:tablePart xmlns:r="http://schemas.openxmlformats.org/officeDocument/2006/relationships" r:id="Rbbb579c6b481496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33.33000183105469" hidden="0" customWidth="1"/>
    <x:col min="3" max="3" width="21.110000610351562" hidden="0" customWidth="1"/>
    <x:col min="4" max="4" width="66.66999816894531" hidden="0" customWidth="1"/>
    <x:col min="5" max="5" width="17.780000686645508" hidden="0" customWidth="1"/>
  </x:cols>
  <x:sheetData>
    <x:row r="1" ht="31.5" customHeight="1">
      <x:c r="A1" s="5" t="str">
        <x:v>Source ID</x:v>
      </x:c>
      <x:c r="B1" s="5" t="str">
        <x:v>Publisher</x:v>
      </x:c>
      <x:c r="C1" s="5" t="str">
        <x:v>Source class</x:v>
      </x:c>
      <x:c r="D1" s="5" t="str">
        <x:v>URL</x:v>
      </x:c>
      <x:c r="E1" s="5" t="str">
        <x:v>Retrieved / data as of</x:v>
      </x:c>
    </x:row>
    <x:row r="2" ht="31.5" customHeight="1">
      <x:c r="A2" s="13" t="str">
        <x:v>CA-HC-VAPING-SALES-2024</x:v>
      </x:c>
      <x:c r="B2" s="13" t="str">
        <x:v>Health Canada</x:v>
      </x:c>
      <x:c r="C2" s="13" t="str">
        <x:v>official</x:v>
      </x:c>
      <x:c r="D2" s="13" t="str">
        <x:v>https://health-infobase.canada.ca/substance-use/vaping/sales/</x:v>
      </x:c>
      <x:c r="E2" s="13" t="str">
        <x:v>2026-07-22</x:v>
      </x:c>
    </x:row>
    <x:row r="3" ht="31.5" customHeight="1">
      <x:c r="A3" s="14" t="str">
        <x:v>CNIPA-PUBLIC-QUERY-GUIDANCE</x:v>
      </x:c>
      <x:c r="B3" s="14" t="str">
        <x:v>China National Intellectual Property Administration</x:v>
      </x:c>
      <x:c r="C3" s="14" t="str">
        <x:v>official_guidance</x:v>
      </x:c>
      <x:c r="D3" s="14" t="str">
        <x:v>https://www.cnipa.gov.cn/jact/front/mailpubdetail.do?sysid=16&amp;transactId=495563</x:v>
      </x:c>
      <x:c r="E3" s="14" t="str">
        <x:v>2026-07-22</x:v>
      </x:c>
    </x:row>
    <x:row r="4" ht="31.5" customHeight="1">
      <x:c r="A4" s="14" t="str">
        <x:v>CNIPA-REEXAMINATION-GUIDANCE</x:v>
      </x:c>
      <x:c r="B4" s="14" t="str">
        <x:v>China National Intellectual Property Administration</x:v>
      </x:c>
      <x:c r="C4" s="14" t="str">
        <x:v>official_guidance</x:v>
      </x:c>
      <x:c r="D4" s="14" t="str">
        <x:v>https://www.cnipa.gov.cn/art/2020/6/5/art_1517_92474.html</x:v>
      </x:c>
      <x:c r="E4" s="14" t="str">
        <x:v>2026-07-22</x:v>
      </x:c>
    </x:row>
    <x:row r="5" ht="31.5" customHeight="1">
      <x:c r="A5" s="14" t="str">
        <x:v>DE-BPATG-8NI18-24</x:v>
      </x:c>
      <x:c r="B5" s="14" t="str">
        <x:v>Bundespatentgericht / German federal legal-information service</x:v>
      </x:c>
      <x:c r="C5" s="14" t="str">
        <x:v>official_judgment</x:v>
      </x:c>
      <x:c r="D5" s="14" t="str">
        <x:v>https://www.rechtsprechung-im-internet.de/jportal/?quelle=jlink&amp;docid=JURE269032275&amp;psml=bsjrsprod.psml</x:v>
      </x:c>
      <x:c r="E5" s="14" t="str">
        <x:v>2026-07-22</x:v>
      </x:c>
    </x:row>
    <x:row r="6" ht="31.5" customHeight="1">
      <x:c r="A6" s="14" t="str">
        <x:v>DE-DESTATIS-73411-0003</x:v>
      </x:c>
      <x:c r="B6" s="14" t="str">
        <x:v>Statistisches Bundesamt (Destatis)</x:v>
      </x:c>
      <x:c r="C6" s="14" t="str">
        <x:v>official</x:v>
      </x:c>
      <x:c r="D6" s="14" t="str">
        <x:v>https://genesis.destatis.de/datenbank/online/statistic/73411/table/73411-0003</x:v>
      </x:c>
      <x:c r="E6" s="14" t="str">
        <x:v>2026-07-22</x:v>
      </x:c>
    </x:row>
    <x:row r="7" ht="31.5" customHeight="1">
      <x:c r="A7" s="14" t="str">
        <x:v>DE-LGMUC-7O3341-24</x:v>
      </x:c>
      <x:c r="B7" s="14" t="str">
        <x:v>Landgericht München I / Bavarian legal-information service</x:v>
      </x:c>
      <x:c r="C7" s="14" t="str">
        <x:v>official_judgment</x:v>
      </x:c>
      <x:c r="D7" s="14" t="str">
        <x:v>https://www.gesetze-bayern.de/Content/Document/Y-300-Z-BECKRS-B-2026-N-14206</x:v>
      </x:c>
      <x:c r="E7" s="14" t="str">
        <x:v>2026-07-22</x:v>
      </x:c>
    </x:row>
    <x:row r="8" ht="31.5" customHeight="1">
      <x:c r="A8" s="14" t="str">
        <x:v>EPO-B1-SPECIFICATION</x:v>
      </x:c>
      <x:c r="B8" s="14" t="str">
        <x:v>European Patent Office</x:v>
      </x:c>
      <x:c r="C8" s="14" t="str">
        <x:v>official_patent_publication</x:v>
      </x:c>
      <x:c r="D8" s="14" t="str">
        <x:v>https://data.epo.org/publication-server/rest/v1.2/patents/EP3032975NWB1/document.pdf</x:v>
      </x:c>
      <x:c r="E8" s="14" t="str">
        <x:v>2026-07-22</x:v>
      </x:c>
    </x:row>
    <x:row r="9" ht="31.5" customHeight="1">
      <x:c r="A9" s="14" t="str">
        <x:v>EPO-B2-SPECIFICATION</x:v>
      </x:c>
      <x:c r="B9" s="14" t="str">
        <x:v>European Patent Office</x:v>
      </x:c>
      <x:c r="C9" s="14" t="str">
        <x:v>official_patent_publication</x:v>
      </x:c>
      <x:c r="D9" s="14" t="str">
        <x:v>https://data.epo.org/publication-server/rest/v1.2/patents/EP3032975NWB2/document.pdf</x:v>
      </x:c>
      <x:c r="E9" s="14" t="str">
        <x:v>2026-07-22</x:v>
      </x:c>
    </x:row>
    <x:row r="10" ht="31.5" customHeight="1">
      <x:c r="A10" s="14" t="str">
        <x:v>EPO-IPSCORE</x:v>
      </x:c>
      <x:c r="B10" s="14" t="str">
        <x:v>European Patent Office</x:v>
      </x:c>
      <x:c r="C10" s="14" t="str">
        <x:v>official_guidance</x:v>
      </x:c>
      <x:c r="D10" s="14" t="str">
        <x:v>https://www.epo.org/en/searching-for-patents/business/ipscore</x:v>
      </x:c>
      <x:c r="E10" s="14" t="str">
        <x:v>2026-07-22</x:v>
      </x:c>
    </x:row>
    <x:row r="11" ht="31.5" customHeight="1">
      <x:c r="A11" s="14" t="str">
        <x:v>EPO-NATIONAL-VALIDATION</x:v>
      </x:c>
      <x:c r="B11" s="14" t="str">
        <x:v>European Patent Office</x:v>
      </x:c>
      <x:c r="C11" s="14" t="str">
        <x:v>official_guidance</x:v>
      </x:c>
      <x:c r="D11" s="14" t="str">
        <x:v>https://www.epo.org/en/applying/european/validation</x:v>
      </x:c>
      <x:c r="E11" s="14" t="str">
        <x:v>2026-07-22</x:v>
      </x:c>
    </x:row>
    <x:row r="12" ht="31.5" customHeight="1">
      <x:c r="A12" s="14" t="str">
        <x:v>EPO-REGISTER-DOCLIST</x:v>
      </x:c>
      <x:c r="B12" s="14" t="str">
        <x:v>European Patent Office</x:v>
      </x:c>
      <x:c r="C12" s="14" t="str">
        <x:v>official_register_documents</x:v>
      </x:c>
      <x:c r="D12" s="14" t="str">
        <x:v>https://register.epo.org/application?number=EP14836345&amp;lng=en&amp;tab=doclist</x:v>
      </x:c>
      <x:c r="E12" s="14" t="str">
        <x:v>2026-07-22</x:v>
      </x:c>
    </x:row>
    <x:row r="13" ht="31.5" customHeight="1">
      <x:c r="A13" s="14" t="str">
        <x:v>EPO-REGISTER-EVENT</x:v>
      </x:c>
      <x:c r="B13" s="14" t="str">
        <x:v>European Patent Office</x:v>
      </x:c>
      <x:c r="C13" s="14" t="str">
        <x:v>official_register</x:v>
      </x:c>
      <x:c r="D13" s="14" t="str">
        <x:v>https://register.epo.org/application?number=EP14836345&amp;lng=en&amp;tab=event</x:v>
      </x:c>
      <x:c r="E13" s="14" t="str">
        <x:v>2026-07-22</x:v>
      </x:c>
    </x:row>
    <x:row r="14" ht="31.5" customHeight="1">
      <x:c r="A14" s="14" t="str">
        <x:v>EPO-REGISTER-FAMILY</x:v>
      </x:c>
      <x:c r="B14" s="14" t="str">
        <x:v>European Patent Office</x:v>
      </x:c>
      <x:c r="C14" s="14" t="str">
        <x:v>official_family_register</x:v>
      </x:c>
      <x:c r="D14" s="14" t="str">
        <x:v>https://register.epo.org/application?number=EP14836345&amp;lng=en&amp;tab=family</x:v>
      </x:c>
      <x:c r="E14" s="14" t="str">
        <x:v>2026-07-22</x:v>
      </x:c>
    </x:row>
    <x:row r="15" ht="31.5" customHeight="1">
      <x:c r="A15" s="14" t="str">
        <x:v>EPO-REGISTER-LEGAL</x:v>
      </x:c>
      <x:c r="B15" s="14" t="str">
        <x:v>European Patent Office</x:v>
      </x:c>
      <x:c r="C15" s="14" t="str">
        <x:v>official_register_route</x:v>
      </x:c>
      <x:c r="D15" s="14" t="str">
        <x:v>https://register.epo.org/application?number=EP14836345&amp;lng=en&amp;tab=legal</x:v>
      </x:c>
      <x:c r="E15" s="14" t="str">
        <x:v>2026-07-22</x:v>
      </x:c>
    </x:row>
    <x:row r="16" ht="31.5" customHeight="1">
      <x:c r="A16" s="14" t="str">
        <x:v>EPO-REGISTER-MAIN</x:v>
      </x:c>
      <x:c r="B16" s="14" t="str">
        <x:v>European Patent Office</x:v>
      </x:c>
      <x:c r="C16" s="14" t="str">
        <x:v>official_register</x:v>
      </x:c>
      <x:c r="D16" s="14" t="str">
        <x:v>https://register.epo.org/application?number=EP14836345&amp;lng=en&amp;tab=main</x:v>
      </x:c>
      <x:c r="E16" s="14" t="str">
        <x:v>2026-07-22</x:v>
      </x:c>
    </x:row>
    <x:row r="17" ht="31.5" customHeight="1">
      <x:c r="A17" s="14" t="str">
        <x:v>EU-BRUSSELS-I-BIS</x:v>
      </x:c>
      <x:c r="B17" s="14" t="str">
        <x:v>European Union / EUR-Lex</x:v>
      </x:c>
      <x:c r="C17" s="14" t="str">
        <x:v>official_legislation</x:v>
      </x:c>
      <x:c r="D17" s="14" t="str">
        <x:v>https://eur-lex.europa.eu/legal-content/en/TXT/?uri=CELEX%3A32012R1215</x:v>
      </x:c>
      <x:c r="E17" s="14" t="str">
        <x:v>2026-07-22</x:v>
      </x:c>
    </x:row>
    <x:row r="18" ht="31.5" customHeight="1">
      <x:c r="A18" s="14" t="str">
        <x:v>EU-TPLF-MAPPING</x:v>
      </x:c>
      <x:c r="B18" s="14" t="str">
        <x:v>European Commission</x:v>
      </x:c>
      <x:c r="C18" s="14" t="str">
        <x:v>official_policy_study</x:v>
      </x:c>
      <x:c r="D18" s="14" t="str">
        <x:v>https://commission.europa.eu/strategy-and-policy/policies/justice-and-fundamental-rights/civil-justice/civil-and-commercial-law/third-party-litigation-funding-tplf_en</x:v>
      </x:c>
      <x:c r="E18" s="14" t="str">
        <x:v>2026-07-22</x:v>
      </x:c>
    </x:row>
    <x:row r="19" ht="31.5" customHeight="1">
      <x:c r="A19" s="14" t="str">
        <x:v>FI-TAX-EXCISE-VVT-010-2025</x:v>
      </x:c>
      <x:c r="B19" s="14" t="str">
        <x:v>Finnish Tax Administration</x:v>
      </x:c>
      <x:c r="C19" s="14" t="str">
        <x:v>official</x:v>
      </x:c>
      <x:c r="D19" s="14" t="str">
        <x:v>https://vero2.stat.fi/PXWeb/api/v1/en/Vero/Valmistevero/vvt_010.px</x:v>
      </x:c>
      <x:c r="E19" s="14" t="str">
        <x:v>2026-07-22</x:v>
      </x:c>
    </x:row>
    <x:row r="20" ht="31.5" customHeight="1">
      <x:c r="A20" s="14" t="str">
        <x:v>FORTUNE-GLOBAL-2025</x:v>
      </x:c>
      <x:c r="B20" s="14" t="str">
        <x:v>Fortune Business Insights</x:v>
      </x:c>
      <x:c r="C20" s="14" t="str">
        <x:v>commercial_estimate</x:v>
      </x:c>
      <x:c r="D20" s="14" t="str">
        <x:v>https://www.fortunebusinessinsights.com/e-cigarette-and-vaping-market-114882</x:v>
      </x:c>
      <x:c r="E20" s="14" t="str">
        <x:v>2026-07-22</x:v>
      </x:c>
    </x:row>
    <x:row r="21" ht="31.5" customHeight="1">
      <x:c r="A21" s="14" t="str">
        <x:v>GVR-GLOBAL-2025</x:v>
      </x:c>
      <x:c r="B21" s="14" t="str">
        <x:v>Grand View Research</x:v>
      </x:c>
      <x:c r="C21" s="14" t="str">
        <x:v>commercial_estimate</x:v>
      </x:c>
      <x:c r="D21" s="14" t="str">
        <x:v>https://www.grandviewresearch.com/industry-analysis/e-cigarette-vaping-market</x:v>
      </x:c>
      <x:c r="E21" s="14" t="str">
        <x:v>2026-07-22</x:v>
      </x:c>
    </x:row>
    <x:row r="22" ht="31.5" customHeight="1">
      <x:c r="A22" s="14" t="str">
        <x:v>IMARC-GLOBAL-2025</x:v>
      </x:c>
      <x:c r="B22" s="14" t="str">
        <x:v>IMARC Group</x:v>
      </x:c>
      <x:c r="C22" s="14" t="str">
        <x:v>commercial_estimate</x:v>
      </x:c>
      <x:c r="D22" s="14" t="str">
        <x:v>https://www.imarcgroup.com/e-cigarette-market</x:v>
      </x:c>
      <x:c r="E22" s="14" t="str">
        <x:v>2026-07-22</x:v>
      </x:c>
    </x:row>
    <x:row r="23" ht="31.5" customHeight="1">
      <x:c r="A23" s="14" t="str">
        <x:v>INTASTE-GERMANFLAVOURS-2026</x:v>
      </x:c>
      <x:c r="B23" s="14" t="str">
        <x:v>inTaste.de</x:v>
      </x:c>
      <x:c r="C23" s="14" t="str">
        <x:v>retail_listing</x:v>
      </x:c>
      <x:c r="D23" s="14" t="str">
        <x:v>https://www.intaste.de/pfefferminz-liquid-germanflavours-liquid</x:v>
      </x:c>
      <x:c r="E23" s="14" t="str">
        <x:v>2026-07-22</x:v>
      </x:c>
    </x:row>
    <x:row r="24" ht="31.5" customHeight="1">
      <x:c r="A24" s="14" t="str">
        <x:v>INTASTE-REVOLTAGE-2026</x:v>
      </x:c>
      <x:c r="B24" s="14" t="str">
        <x:v>inTaste.de</x:v>
      </x:c>
      <x:c r="C24" s="14" t="str">
        <x:v>retail_listing</x:v>
      </x:c>
      <x:c r="D24" s="14" t="str">
        <x:v>https://www.intaste.de/tobacco-vanilla-nikotinsalz-revoltage-liquid</x:v>
      </x:c>
      <x:c r="E24" s="14" t="str">
        <x:v>2026-07-22</x:v>
      </x:c>
    </x:row>
    <x:row r="25" ht="31.5" customHeight="1">
      <x:c r="A25" s="14" t="str">
        <x:v>INTASTE-SAMURAI-2026</x:v>
      </x:c>
      <x:c r="B25" s="14" t="str">
        <x:v>inTaste.de</x:v>
      </x:c>
      <x:c r="C25" s="14" t="str">
        <x:v>retail_listing</x:v>
      </x:c>
      <x:c r="D25" s="14" t="str">
        <x:v>https://www.intaste.de/anstand-liquid-samurai-liquid</x:v>
      </x:c>
      <x:c r="E25" s="14" t="str">
        <x:v>2026-07-22</x:v>
      </x:c>
    </x:row>
    <x:row r="26" ht="31.5" customHeight="1">
      <x:c r="A26" s="14" t="str">
        <x:v>IPAU-PATENT-API</x:v>
      </x:c>
      <x:c r="B26" s="14" t="str">
        <x:v>IP Australia</x:v>
      </x:c>
      <x:c r="C26" s="14" t="str">
        <x:v>official_national_api</x:v>
      </x:c>
      <x:c r="D26" s="14" t="str">
        <x:v>https://production.api.ipaustralia.gov.au/public/ipright-search-api/v1/patents/2014307829</x:v>
      </x:c>
      <x:c r="E26" s="14" t="str">
        <x:v>2026-07-22</x:v>
      </x:c>
    </x:row>
    <x:row r="27" ht="31.5" customHeight="1">
      <x:c r="A27" s="14" t="str">
        <x:v>KIPRIS-REGISTER</x:v>
      </x:c>
      <x:c r="B27" s="14" t="str">
        <x:v>Korean Intellectual Property Office / KIPRIS</x:v>
      </x:c>
      <x:c r="C27" s="14" t="str">
        <x:v>official_national_register</x:v>
      </x:c>
      <x:c r="D27" s="14" t="str">
        <x:v>https://www.kipris.or.kr/khome/search/searchResult.do</x:v>
      </x:c>
      <x:c r="E27" s="14" t="str">
        <x:v>2026-07-22</x:v>
      </x:c>
    </x:row>
    <x:row r="28" ht="31.5" customHeight="1">
      <x:c r="A28" s="14" t="str">
        <x:v>PL-SEJM-I07255-O1</x:v>
      </x:c>
      <x:c r="B28" s="14" t="str">
        <x:v>Sejm of the Republic of Poland</x:v>
      </x:c>
      <x:c r="C28" s="14" t="str">
        <x:v>official</x:v>
      </x:c>
      <x:c r="D28" s="14" t="str">
        <x:v>https://api.sejm.gov.pl/sejm/term10/interpellations/attachment/ATTDDEJZ5/i07255-o1.pdf</x:v>
      </x:c>
      <x:c r="E28" s="14" t="str">
        <x:v>2026-07-22</x:v>
      </x:c>
    </x:row>
    <x:row r="29" ht="31.5" customHeight="1">
      <x:c r="A29" s="14" t="str">
        <x:v>PL-SEJM-I17526-O1</x:v>
      </x:c>
      <x:c r="B29" s="14" t="str">
        <x:v>Sejm of the Republic of Poland</x:v>
      </x:c>
      <x:c r="C29" s="14" t="str">
        <x:v>official</x:v>
      </x:c>
      <x:c r="D29" s="14" t="str">
        <x:v>https://api.sejm.gov.pl/sejm/term10/interpellations/attachment/ATTDVKHSJ/i17526-o1.pdf</x:v>
      </x:c>
      <x:c r="E29" s="14" t="str">
        <x:v>2026-07-22</x:v>
      </x:c>
    </x:row>
    <x:row r="30" ht="31.5" customHeight="1">
      <x:c r="A30" s="14" t="str">
        <x:v>PRH-FI-REGISTER</x:v>
      </x:c>
      <x:c r="B30" s="14" t="str">
        <x:v>Finnish Patent and Registration Office</x:v>
      </x:c>
      <x:c r="C30" s="14" t="str">
        <x:v>official_national_register</x:v>
      </x:c>
      <x:c r="D30" s="14" t="str">
        <x:v>https://patenttitietopalvelu.prh.fi/en/patent/20135829</x:v>
      </x:c>
      <x:c r="E30" s="14" t="str">
        <x:v>2026-07-22</x:v>
      </x:c>
    </x:row>
    <x:row r="31" ht="31.5" customHeight="1">
      <x:c r="A31" s="14" t="str">
        <x:v>ROSPATENT-REGISTER</x:v>
      </x:c>
      <x:c r="B31" s="14" t="str">
        <x:v>Federal Service for Intellectual Property (Rospatent)</x:v>
      </x:c>
      <x:c r="C31" s="14" t="str">
        <x:v>official_national_register</x:v>
      </x:c>
      <x:c r="D31" s="14" t="str">
        <x:v>https://new.fips.ru/registers-doc-view/fips_servlet?DB=RUPAT&amp;DocNumber=2600093&amp;TypeFile=html</x:v>
      </x:c>
      <x:c r="E31" s="14" t="str">
        <x:v>2026-07-22</x:v>
      </x:c>
    </x:row>
    <x:row r="32" ht="31.5" customHeight="1">
      <x:c r="A32" s="14" t="str">
        <x:v>RPAD-KANANEN-2013</x:v>
      </x:c>
      <x:c r="B32" s="14" t="str">
        <x:v>RPad.tv</x:v>
      </x:c>
      <x:c r="C32" s="14" t="str">
        <x:v>secondary_interview</x:v>
      </x:c>
      <x:c r="D32" s="14" t="str">
        <x:v>https://rpad.tv/2013/09/23/vaping-diaries-108-electric-angel-owner-mika-kananen-interview/</x:v>
      </x:c>
      <x:c r="E32" s="14" t="str">
        <x:v>2026-07-22</x:v>
      </x:c>
    </x:row>
    <x:row r="33" ht="31.5" customHeight="1">
      <x:c r="A33" s="14" t="str">
        <x:v>RPX-CN-225669</x:v>
      </x:c>
      <x:c r="B33" s="14" t="str">
        <x:v>RPX Insight</x:v>
      </x:c>
      <x:c r="C33" s="14" t="str">
        <x:v>secondary_litigation_database</x:v>
      </x:c>
      <x:c r="D33" s="14" t="str">
        <x:v>https://litigation.rpxcorp.com/china/prb/5153434-picsen-company-v-pixan-oy-of-365</x:v>
      </x:c>
      <x:c r="E33" s="14" t="str">
        <x:v>2026-07-22</x:v>
      </x:c>
    </x:row>
    <x:row r="34" ht="31.5" customHeight="1">
      <x:c r="A34" s="14" t="str">
        <x:v>SE-GOV-BERAKNINGSKONVENTIONER-2026</x:v>
      </x:c>
      <x:c r="B34" s="14" t="str">
        <x:v>Government Offices of Sweden</x:v>
      </x:c>
      <x:c r="C34" s="14" t="str">
        <x:v>official</x:v>
      </x:c>
      <x:c r="D34" s="14" t="str">
        <x:v>https://www.regeringen.se/contentassets/1ed01e00001b42e5ad8d47433db63ece/berakningskonventioner_2026.pdf</x:v>
      </x:c>
      <x:c r="E34" s="14" t="str">
        <x:v>2026-07-22</x:v>
      </x:c>
    </x:row>
    <x:row r="35" ht="31.5" customHeight="1">
      <x:c r="A35" s="14" t="str">
        <x:v>UPCA-ARTICLE-83</x:v>
      </x:c>
      <x:c r="B35" s="14" t="str">
        <x:v>European Patent Office / Agreement on a Unified Patent Court</x:v>
      </x:c>
      <x:c r="C35" s="14" t="str">
        <x:v>official_treaty_text</x:v>
      </x:c>
      <x:c r="D35" s="14" t="str">
        <x:v>https://www.epo.org/en/legal/up-upc/2022/upca_83.html</x:v>
      </x:c>
      <x:c r="E35" s="14" t="str">
        <x:v>2026-07-22</x:v>
      </x:c>
    </x:row>
    <x:row r="36" ht="31.5" customHeight="1">
      <x:c r="A36" s="14" t="str">
        <x:v>USPTO-ASSIGNMENT</x:v>
      </x:c>
      <x:c r="B36" s="14" t="str">
        <x:v>United States Patent and Trademark Office</x:v>
      </x:c>
      <x:c r="C36" s="14" t="str">
        <x:v>official_national_assignment_route</x:v>
      </x:c>
      <x:c r="D36" s="14" t="str">
        <x:v>https://assignment.uspto.gov/patent/index.html#/patent/search/resultFilter?searchInput=10306923</x:v>
      </x:c>
      <x:c r="E36" s="14" t="str">
        <x:v>2026-07-22</x:v>
      </x:c>
    </x:row>
    <x:row r="37" ht="31.5" customHeight="1">
      <x:c r="A37" s="14" t="str">
        <x:v>USPTO-MAINTENANCE</x:v>
      </x:c>
      <x:c r="B37" s="14" t="str">
        <x:v>United States Patent and Trademark Office</x:v>
      </x:c>
      <x:c r="C37" s="14" t="str">
        <x:v>official_national_fee_route</x:v>
      </x:c>
      <x:c r="D37" s="14" t="str">
        <x:v>https://fees.uspto.gov/MaintenanceFees/fees/details?patentNumber=10306923</x:v>
      </x:c>
      <x:c r="E37" s="14" t="str">
        <x:v>2026-07-22</x:v>
      </x:c>
    </x:row>
    <x:row r="38" ht="31.5" customHeight="1">
      <x:c r="A38" s="14" t="str">
        <x:v>USPTO-PATENT-CENTER</x:v>
      </x:c>
      <x:c r="B38" s="14" t="str">
        <x:v>United States Patent and Trademark Office</x:v>
      </x:c>
      <x:c r="C38" s="14" t="str">
        <x:v>official_national_register_route</x:v>
      </x:c>
      <x:c r="D38" s="14" t="str">
        <x:v>https://patentcenter.uspto.gov/applications/14911851</x:v>
      </x:c>
      <x:c r="E38" s="14" t="str">
        <x:v>2026-07-22</x:v>
      </x:c>
    </x:row>
    <x:row r="39" ht="31.5" customHeight="1">
      <x:c r="A39" s="14" t="str">
        <x:v>WAYBACK-EA-ABOUT-2012</x:v>
      </x:c>
      <x:c r="B39" s="14" t="str">
        <x:v>Electric Angel Oy webpage archived by Internet Archive</x:v>
      </x:c>
      <x:c r="C39" s="14" t="str">
        <x:v>archived_company_statement</x:v>
      </x:c>
      <x:c r="D39" s="14" t="str">
        <x:v>https://web.archive.org/web/20121206055248/http://www.electricangel.fi:80/page/4/about-us</x:v>
      </x:c>
      <x:c r="E39" s="14" t="str">
        <x:v>2026-07-22</x:v>
      </x:c>
    </x:row>
    <x:row r="40" ht="31.5" customHeight="1">
      <x:c r="A40" s="14" t="str">
        <x:v>WAYBACK-EA-INVICTUS-2013</x:v>
      </x:c>
      <x:c r="B40" s="14" t="str">
        <x:v>Electric Angel Oy webpage archived by Internet Archive</x:v>
      </x:c>
      <x:c r="C40" s="14" t="str">
        <x:v>archived_company_statement</x:v>
      </x:c>
      <x:c r="D40" s="14" t="str">
        <x:v>https://web.archive.org/web/20131216064916/http://www.electricangel.fi:80/news/3/ea-invictus</x:v>
      </x:c>
      <x:c r="E40" s="14" t="str">
        <x:v>2026-07-22</x:v>
      </x:c>
    </x:row>
    <x:row r="41" ht="31.5" customHeight="1">
      <x:c r="A41" s="14" t="str">
        <x:v>WIPO-ASSIGNMENT-LICENSING</x:v>
      </x:c>
      <x:c r="B41" s="14" t="str">
        <x:v>World Intellectual Property Organization</x:v>
      </x:c>
      <x:c r="C41" s="14" t="str">
        <x:v>official_guidance</x:v>
      </x:c>
      <x:c r="D41" s="14" t="str">
        <x:v>https://www.wipo.int/ja/web/business/assignment-licensing</x:v>
      </x:c>
      <x:c r="E41" s="14" t="str">
        <x:v>2026-07-22</x:v>
      </x:c>
    </x:row>
    <x:row r="42" ht="31.5" customHeight="1">
      <x:c r="A42" s="14" t="str">
        <x:v>WIPO-DISPUTE-RESOLUTION</x:v>
      </x:c>
      <x:c r="B42" s="14" t="str">
        <x:v>World Intellectual Property Organization</x:v>
      </x:c>
      <x:c r="C42" s="14" t="str">
        <x:v>official_guidance</x:v>
      </x:c>
      <x:c r="D42" s="14" t="str">
        <x:v>https://www.wipo.int/en/web/business/settle-ip-disputes</x:v>
      </x:c>
      <x:c r="E42" s="14" t="str">
        <x:v>2026-07-22</x:v>
      </x:c>
    </x:row>
    <x:row r="43" ht="31.5" customHeight="1">
      <x:c r="A43" s="14" t="str">
        <x:v>WIPO-IP-FINANCE</x:v>
      </x:c>
      <x:c r="B43" s="14" t="str">
        <x:v>World Intellectual Property Organization</x:v>
      </x:c>
      <x:c r="C43" s="14" t="str">
        <x:v>official_guidance</x:v>
      </x:c>
      <x:c r="D43" s="14" t="str">
        <x:v>https://www.wipo.int/en/web/ip-financing</x:v>
      </x:c>
      <x:c r="E43" s="14" t="str">
        <x:v>2026-07-22</x:v>
      </x:c>
    </x:row>
    <x:row r="44" ht="31.5" customHeight="1">
      <x:c r="A44" s="14" t="str">
        <x:v>WIPO-IP-VALUATION</x:v>
      </x:c>
      <x:c r="B44" s="14" t="str">
        <x:v>World Intellectual Property Organization</x:v>
      </x:c>
      <x:c r="C44" s="14" t="str">
        <x:v>official_guidance</x:v>
      </x:c>
      <x:c r="D44" s="14" t="str">
        <x:v>https://www.wipo.int/en/web/business/ip-valuation</x:v>
      </x:c>
      <x:c r="E44" s="14" t="str">
        <x:v>2026-07-22</x:v>
      </x:c>
    </x:row>
    <x:row r="45" ht="31.5" customHeight="1">
      <x:c r="A45" s="14" t="str">
        <x:v>WIPO-PCT-NATIONAL-PHASE</x:v>
      </x:c>
      <x:c r="B45" s="14" t="str">
        <x:v>World Intellectual Property Organization</x:v>
      </x:c>
      <x:c r="C45" s="14" t="str">
        <x:v>official_guidance</x:v>
      </x:c>
      <x:c r="D45" s="14" t="str">
        <x:v>https://www.wipo.int/en/web/pct-system/national-phase</x:v>
      </x:c>
      <x:c r="E45" s="14" t="str">
        <x:v>2026-07-22</x:v>
      </x:c>
    </x:row>
    <x:row r="46" ht="31.5" customHeight="1">
      <x:c r="A46" s="14" t="str">
        <x:v>YTJ-ELECTRIC-ANGEL</x:v>
      </x:c>
      <x:c r="B46" s="14" t="str">
        <x:v>Finnish Patent and Registration Office / Finnish Tax Administration</x:v>
      </x:c>
      <x:c r="C46" s="14" t="str">
        <x:v>official_company_register</x:v>
      </x:c>
      <x:c r="D46" s="14" t="str">
        <x:v>https://avoindata.prh.fi/opendata-ytj-api/v3/companies?businessId=2498114-9</x:v>
      </x:c>
      <x:c r="E46" s="14" t="str">
        <x:v>2026-07-22</x:v>
      </x:c>
    </x:row>
    <x:row r="47" ht="31.5" customHeight="1">
      <x:c r="A47" s="15" t="str">
        <x:v>YTJ-PIXAN</x:v>
      </x:c>
      <x:c r="B47" s="15" t="str">
        <x:v>Finnish Patent and Registration Office / Finnish Tax Administration</x:v>
      </x:c>
      <x:c r="C47" s="15" t="str">
        <x:v>official_company_register</x:v>
      </x:c>
      <x:c r="D47" s="15" t="str">
        <x:v>https://avoindata.prh.fi/opendata-ytj-api/v3/companies?businessId=2632380-1</x:v>
      </x:c>
      <x:c r="E47" s="15" t="str">
        <x:v>2026-07-22</x:v>
      </x:c>
    </x:row>
  </x:sheetData>
  <x:pageMargins left="0.7" right="0.7" top="0.75" bottom="0.75" header="0.3" footer="0.3"/>
  <x:tableParts count="1">
    <x:tablePart xmlns:r="http://schemas.openxmlformats.org/officeDocument/2006/relationships" r:id="R32c2b77e8ff34551"/>
  </x:tableParts>
</x:worksheet>
</file>