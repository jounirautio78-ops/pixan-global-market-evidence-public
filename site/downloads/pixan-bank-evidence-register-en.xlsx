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74ee731b03843f2" /></Relationships>
</file>

<file path=xl/workbook.xml><?xml version="1.0" encoding="utf-8"?>
<x:workbook xmlns:x="http://schemas.openxmlformats.org/spreadsheetml/2006/main">
  <x:sheets>
    <x:sheet xmlns:r="http://schemas.openxmlformats.org/officeDocument/2006/relationships" name="Evidence Register" sheetId="1" r:id="R74cba888082f4021"/>
    <x:sheet xmlns:r="http://schemas.openxmlformats.org/officeDocument/2006/relationships" name="Summary" sheetId="2" r:id="R5c44fee1a80f4349"/>
    <x:sheet xmlns:r="http://schemas.openxmlformats.org/officeDocument/2006/relationships" name="Reviewer questions" sheetId="3" r:id="R4261d945d76e4c13"/>
    <x:sheet xmlns:r="http://schemas.openxmlformats.org/officeDocument/2006/relationships" name="Sources" sheetId="4" r:id="R17ceb104cfe849c4"/>
    <x:sheet xmlns:r="http://schemas.openxmlformats.org/officeDocument/2006/relationships" name="EUR equivalents" sheetId="5" r:id="R6263184a042843f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300fece00c46a7" /><Relationship Type="http://schemas.openxmlformats.org/officeDocument/2006/relationships/theme" Target="/xl/theme/theme1.xml" Id="R69d6ce2dce5e48a0" /><Relationship Type="http://schemas.openxmlformats.org/officeDocument/2006/relationships/sharedStrings" Target="/xl/sharedStrings.xml" Id="R6befc4d06b144b91" /><Relationship Type="http://schemas.openxmlformats.org/officeDocument/2006/relationships/worksheet" Target="/xl/worksheets/sheet1.xml" Id="R74cba888082f4021" /><Relationship Type="http://schemas.openxmlformats.org/officeDocument/2006/relationships/worksheet" Target="/xl/worksheets/sheet2.xml" Id="R5c44fee1a80f4349" /><Relationship Type="http://schemas.openxmlformats.org/officeDocument/2006/relationships/worksheet" Target="/xl/worksheets/sheet3.xml" Id="R4261d945d76e4c13" /><Relationship Type="http://schemas.openxmlformats.org/officeDocument/2006/relationships/worksheet" Target="/xl/worksheets/sheet4.xml" Id="R17ceb104cfe849c4" /><Relationship Type="http://schemas.openxmlformats.org/officeDocument/2006/relationships/worksheet" Target="/xl/worksheets/sheet5.xml" Id="R6263184a042843fc"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72"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38"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aa4f32e5298488c" /></Relationships>
</file>

<file path=xl/worksheets/_rels/sheet3.xml.rels>&#65279;<?xml version="1.0" encoding="utf-8"?><Relationships xmlns="http://schemas.openxmlformats.org/package/2006/relationships"><Relationship Type="http://schemas.openxmlformats.org/officeDocument/2006/relationships/table" Target="/xl/tables/table2.xml" Id="Rb5a790b47859497e" /></Relationships>
</file>

<file path=xl/worksheets/_rels/sheet4.xml.rels>&#65279;<?xml version="1.0" encoding="utf-8"?><Relationships xmlns="http://schemas.openxmlformats.org/package/2006/relationships"><Relationship Type="http://schemas.openxmlformats.org/officeDocument/2006/relationships/table" Target="/xl/tables/table3.xml" Id="R2dcf706411294d0a" /></Relationships>
</file>

<file path=xl/worksheets/_rels/sheet5.xml.rels>&#65279;<?xml version="1.0" encoding="utf-8"?><Relationships xmlns="http://schemas.openxmlformats.org/package/2006/relationships"><Relationship Type="http://schemas.openxmlformats.org/officeDocument/2006/relationships/table" Target="/xl/tables/table4.xml" Id="R90a0407373924926"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package contains 27 annual observations sourced from official routes across seven countries.</x:v>
      </x:c>
      <x:c r="B11" s="14" t="str">
        <x:v>Market size</x:v>
      </x:c>
      <x:c r="C11" s="14" t="str">
        <x:v>The countries are Canada, Germany, Finland, New Zealand, Poland, Sweden and the United States. Transaction levels, currencies and product scopes differ.</x:v>
      </x:c>
      <x:c r="D11" s="14" t="str">
        <x:v>site/data/market-values.json (machine-readable source file of the public site)</x:v>
      </x:c>
      <x:c r="E11" s="14" t="str">
        <x:v>2026-07-24</x:v>
      </x:c>
      <x:c r="F11" s="14" t="str">
        <x:v>Count of annual observations whose evidenceStatus begins official_.</x:v>
      </x:c>
      <x:c r="G11" s="14" t="str">
        <x:v>Official publication does not make the metrics automatically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Canada's 2024 manufacturer and importer shipment value was CAD 1.16075379678 billion.</x:v>
      </x:c>
      <x:c r="B21" s="14" t="str">
        <x:v>Market size</x:v>
      </x:c>
      <x:c r="C21" s="14" t="str">
        <x:v>The official full-year series reports shipment value to wholesalers and retailers across four reported product categories. It does not measure consumer retail purchases, and Health Canada may revise the data.</x:v>
      </x:c>
      <x:c r="D21" s="14" t="str">
        <x:v>https://health-infobase.canada.ca/substance-use/vaping/sales/</x:v>
      </x:c>
      <x:c r="E21" s="14" t="str">
        <x:v>2024</x:v>
      </x:c>
      <x:c r="F21" s="14" t="str">
        <x:v>Sum of the four reported product categories.</x:v>
      </x:c>
      <x:c r="G21" s="14" t="str">
        <x:v>Shipment value is not treated as consumer retail value.</x:v>
      </x:c>
      <x:c r="H21" s="14" t="str">
        <x:v>Confirmed</x:v>
      </x:c>
      <x:c r="I21" s="14" t="str">
        <x:v>Retail margins, channel structure and inventory movements must be reconciled.</x:v>
      </x:c>
    </x:row>
    <x:row r="22" ht="58.5" customHeight="1">
      <x:c r="A22" s="14" t="str">
        <x:v>Canada's 2024 shipments included 1,251,843 litres.</x:v>
      </x:c>
      <x:c r="B22" s="14" t="str">
        <x:v>Market size</x:v>
      </x:c>
      <x:c r="C22" s="14" t="str">
        <x:v>The total covers the reported vaporisable-substance categories. It is a physical volume, not a retail market value.</x:v>
      </x:c>
      <x:c r="D22" s="14" t="str">
        <x:v>https://health-infobase.canada.ca/substance-use/vaping/sales/</x:v>
      </x:c>
      <x:c r="E22" s="14" t="str">
        <x:v>2024</x:v>
      </x:c>
      <x:c r="F22" s="14" t="str">
        <x:v>Sum of the reported liquid-containing product categories.</x:v>
      </x:c>
      <x:c r="G22" s="14" t="str">
        <x:v>Physical volume is not treated as market value.</x:v>
      </x:c>
      <x:c r="H22" s="14" t="str">
        <x:v>Confirmed</x:v>
      </x:c>
      <x:c r="I22" s="14" t="str">
        <x:v>Product mix, average price and retail-channel evidence are required.</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 taxed 26,000 litres of nicotine liquid in 2024.</x:v>
      </x:c>
      <x:c r="B29" s="14" t="str">
        <x:v>Market size</x:v>
      </x:c>
      <x:c r="C29" s="14" t="str">
        <x:v>Table 7.5 reports a rounded official amount. It covers nicotine liquid only, excludes devices and nicotine-free liquid, and is not retail value.</x:v>
      </x:c>
      <x:c r="D29" s="14" t="str">
        <x:v>https://www.regeringen.se/contentassets/1ed01e00001b42e5ad8d47433db63ece/berakningskonventioner_2026.pdf</x:v>
      </x:c>
      <x:c r="E29" s="14" t="str">
        <x:v>2024</x:v>
      </x:c>
      <x:c r="F29" s="14" t="str">
        <x:v>Direct use of the calculation basis stated by the government.</x:v>
      </x:c>
      <x:c r="G29" s="14" t="str">
        <x:v>The observation is not treated as the full market.</x:v>
      </x:c>
      <x:c r="H29" s="14" t="str">
        <x:v>Confirmed</x:v>
      </x:c>
      <x:c r="I29" s="14" t="str">
        <x:v>Observed retail value and device data are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7aa4f32e5298488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2026.07.24-18</x:v>
      </x:c>
    </x:row>
    <x:row r="6" ht="20.25" customHeight="1">
      <x:c r="A6" s="29" t="str">
        <x:v>Updated</x:v>
      </x:c>
      <x:c r="B6" s="14" t="str">
        <x:v>2026-07-24</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30</x:v>
      </x:c>
    </x:row>
    <x:row r="12" ht="20.25" customHeight="1">
      <x:c r="A12" s="37" t="str">
        <x:v>Supported</x:v>
      </x:c>
      <x:c r="B12" s="14" t="n">
        <x:f>COUNTIF('Evidence Register'!$H$2:$H$54,A12)</x:f>
        <x:v>10</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b5a790b47859497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REGISTER-REFERENCE-E8408060156E</x:v>
      </x:c>
      <x:c r="B53" s="14" t="str">
        <x:v>data-api.ecb.europa.eu</x:v>
      </x:c>
      <x:c r="C53" s="14" t="str">
        <x:v>register_reference</x:v>
      </x:c>
      <x:c r="D53" s="14" t="str">
        <x:v>https://data-api.ecb.europa.eu/service/data/EXR/A.CAD.EUR.SP00.A?startPeriod=2024&amp;endPeriod=2024&amp;format=csvdata</x:v>
      </x:c>
      <x:c r="E53" s="14" t="str">
        <x:v>2026-07-24</x:v>
      </x:c>
    </x:row>
    <x:row r="54" ht="31.5" customHeight="1">
      <x:c r="A54" s="14" t="str">
        <x:v>REGISTER-REFERENCE-2FB6E2117AD7</x:v>
      </x:c>
      <x:c r="B54" s="14" t="str">
        <x:v>data-api.ecb.europa.eu</x:v>
      </x:c>
      <x:c r="C54" s="14" t="str">
        <x:v>register_reference</x:v>
      </x:c>
      <x:c r="D54" s="14" t="str">
        <x:v>https://data-api.ecb.europa.eu/service/data/EXR/A.NZD.EUR.SP00.A?startPeriod=2022&amp;endPeriod=2022&amp;format=csvdata</x:v>
      </x:c>
      <x:c r="E54" s="14" t="str">
        <x:v>2026-07-24</x:v>
      </x:c>
    </x:row>
    <x:row r="55" ht="31.5" customHeight="1">
      <x:c r="A55" s="14" t="str">
        <x:v>REGISTER-REFERENCE-8FEBAD85B03E</x:v>
      </x:c>
      <x:c r="B55" s="14" t="str">
        <x:v>data-api.ecb.europa.eu</x:v>
      </x:c>
      <x:c r="C55" s="14" t="str">
        <x:v>register_reference</x:v>
      </x:c>
      <x:c r="D55" s="14" t="str">
        <x:v>https://data-api.ecb.europa.eu/service/data/EXR/A.NZD.EUR.SP00.A?startPeriod=2023&amp;endPeriod=2023&amp;format=csvdata</x:v>
      </x:c>
      <x:c r="E55" s="14" t="str">
        <x:v>2026-07-24</x:v>
      </x:c>
    </x:row>
    <x:row r="56" ht="31.5" customHeight="1">
      <x:c r="A56" s="14" t="str">
        <x:v>REGISTER-REFERENCE-37CBB91A050A</x:v>
      </x:c>
      <x:c r="B56" s="14" t="str">
        <x:v>data-api.ecb.europa.eu</x:v>
      </x:c>
      <x:c r="C56" s="14" t="str">
        <x:v>register_reference</x:v>
      </x:c>
      <x:c r="D56" s="14" t="str">
        <x:v>https://data-api.ecb.europa.eu/service/data/EXR/A.NZD.EUR.SP00.A?startPeriod=2024&amp;endPeriod=2024&amp;format=csvdata</x:v>
      </x:c>
      <x:c r="E56" s="14" t="str">
        <x:v>2026-07-24</x:v>
      </x:c>
    </x:row>
    <x:row r="57" ht="31.5" customHeight="1">
      <x:c r="A57" s="14" t="str">
        <x:v>REGISTER-REFERENCE-54AB30A87D3D</x:v>
      </x:c>
      <x:c r="B57" s="14" t="str">
        <x:v>data-api.ecb.europa.eu</x:v>
      </x:c>
      <x:c r="C57" s="14" t="str">
        <x:v>register_reference</x:v>
      </x:c>
      <x:c r="D57" s="14" t="str">
        <x:v>https://data-api.ecb.europa.eu/service/data/EXR/A.PLN.EUR.SP00.A?startPeriod=2025&amp;endPeriod=2025&amp;format=csvdata</x:v>
      </x:c>
      <x:c r="E57" s="14" t="str">
        <x:v>2026-07-24</x:v>
      </x:c>
    </x:row>
    <x:row r="58" ht="31.5" customHeight="1">
      <x:c r="A58" s="14" t="str">
        <x:v>REGISTER-REFERENCE-4B9D48C385C9</x:v>
      </x:c>
      <x:c r="B58" s="14" t="str">
        <x:v>data-api.ecb.europa.eu</x:v>
      </x:c>
      <x:c r="C58" s="14" t="str">
        <x:v>register_reference</x:v>
      </x:c>
      <x:c r="D58" s="14" t="str">
        <x:v>https://data-api.ecb.europa.eu/service/data/EXR/A.SEK.EUR.SP00.A?startPeriod=2024&amp;endPeriod=2024&amp;format=csvdata</x:v>
      </x:c>
      <x:c r="E58" s="14" t="str">
        <x:v>2026-07-24</x:v>
      </x:c>
    </x:row>
    <x:row r="59" ht="31.5" customHeight="1">
      <x:c r="A59" s="14" t="str">
        <x:v>REGISTER-REFERENCE-97704C5CE7D4</x:v>
      </x:c>
      <x:c r="B59" s="14" t="str">
        <x:v>data-api.ecb.europa.eu</x:v>
      </x:c>
      <x:c r="C59" s="14" t="str">
        <x:v>register_reference</x:v>
      </x:c>
      <x:c r="D59" s="14" t="str">
        <x:v>https://data-api.ecb.europa.eu/service/data/EXR/A.USD.EUR.SP00.A?startPeriod=2015&amp;endPeriod=2015&amp;format=csvdata</x:v>
      </x:c>
      <x:c r="E59" s="14" t="str">
        <x:v>2026-07-24</x:v>
      </x:c>
    </x:row>
    <x:row r="60" ht="31.5" customHeight="1">
      <x:c r="A60" s="14" t="str">
        <x:v>REGISTER-REFERENCE-EF5511CEAE3C</x:v>
      </x:c>
      <x:c r="B60" s="14" t="str">
        <x:v>data-api.ecb.europa.eu</x:v>
      </x:c>
      <x:c r="C60" s="14" t="str">
        <x:v>register_reference</x:v>
      </x:c>
      <x:c r="D60" s="14" t="str">
        <x:v>https://data-api.ecb.europa.eu/service/data/EXR/A.USD.EUR.SP00.A?startPeriod=2016&amp;endPeriod=2016&amp;format=csvdata</x:v>
      </x:c>
      <x:c r="E60" s="14" t="str">
        <x:v>2026-07-24</x:v>
      </x:c>
    </x:row>
    <x:row r="61" ht="31.5" customHeight="1">
      <x:c r="A61" s="14" t="str">
        <x:v>REGISTER-REFERENCE-15452EF50F15</x:v>
      </x:c>
      <x:c r="B61" s="14" t="str">
        <x:v>data-api.ecb.europa.eu</x:v>
      </x:c>
      <x:c r="C61" s="14" t="str">
        <x:v>register_reference</x:v>
      </x:c>
      <x:c r="D61" s="14" t="str">
        <x:v>https://data-api.ecb.europa.eu/service/data/EXR/A.USD.EUR.SP00.A?startPeriod=2017&amp;endPeriod=2017&amp;format=csvdata</x:v>
      </x:c>
      <x:c r="E61" s="14" t="str">
        <x:v>2026-07-24</x:v>
      </x:c>
    </x:row>
    <x:row r="62" ht="31.5" customHeight="1">
      <x:c r="A62" s="14" t="str">
        <x:v>REGISTER-REFERENCE-9C7C0F0FD33F</x:v>
      </x:c>
      <x:c r="B62" s="14" t="str">
        <x:v>data-api.ecb.europa.eu</x:v>
      </x:c>
      <x:c r="C62" s="14" t="str">
        <x:v>register_reference</x:v>
      </x:c>
      <x:c r="D62" s="14" t="str">
        <x:v>https://data-api.ecb.europa.eu/service/data/EXR/A.USD.EUR.SP00.A?startPeriod=2018&amp;endPeriod=2018&amp;format=csvdata</x:v>
      </x:c>
      <x:c r="E62" s="14" t="str">
        <x:v>2026-07-24</x:v>
      </x:c>
    </x:row>
    <x:row r="63" ht="31.5" customHeight="1">
      <x:c r="A63" s="14" t="str">
        <x:v>REGISTER-REFERENCE-82A9C0A0E9C4</x:v>
      </x:c>
      <x:c r="B63" s="14" t="str">
        <x:v>data-api.ecb.europa.eu</x:v>
      </x:c>
      <x:c r="C63" s="14" t="str">
        <x:v>register_reference</x:v>
      </x:c>
      <x:c r="D63" s="14" t="str">
        <x:v>https://data-api.ecb.europa.eu/service/data/EXR/A.USD.EUR.SP00.A?startPeriod=2019&amp;endPeriod=2019&amp;format=csvdata</x:v>
      </x:c>
      <x:c r="E63" s="14" t="str">
        <x:v>2026-07-24</x:v>
      </x:c>
    </x:row>
    <x:row r="64" ht="31.5" customHeight="1">
      <x:c r="A64" s="14" t="str">
        <x:v>REGISTER-REFERENCE-25E2E410922F</x:v>
      </x:c>
      <x:c r="B64" s="14" t="str">
        <x:v>data-api.ecb.europa.eu</x:v>
      </x:c>
      <x:c r="C64" s="14" t="str">
        <x:v>register_reference</x:v>
      </x:c>
      <x:c r="D64" s="14" t="str">
        <x:v>https://data-api.ecb.europa.eu/service/data/EXR/A.USD.EUR.SP00.A?startPeriod=2020&amp;endPeriod=2020&amp;format=csvdata</x:v>
      </x:c>
      <x:c r="E64" s="14" t="str">
        <x:v>2026-07-24</x:v>
      </x:c>
    </x:row>
    <x:row r="65" ht="31.5" customHeight="1">
      <x:c r="A65" s="14" t="str">
        <x:v>REGISTER-REFERENCE-74211110370B</x:v>
      </x:c>
      <x:c r="B65" s="14" t="str">
        <x:v>data-api.ecb.europa.eu</x:v>
      </x:c>
      <x:c r="C65" s="14" t="str">
        <x:v>register_reference</x:v>
      </x:c>
      <x:c r="D65" s="14" t="str">
        <x:v>https://data-api.ecb.europa.eu/service/data/EXR/A.USD.EUR.SP00.A?startPeriod=2021&amp;endPeriod=2021&amp;format=csvdata</x:v>
      </x:c>
      <x:c r="E65" s="14" t="str">
        <x:v>2026-07-24</x:v>
      </x:c>
    </x:row>
    <x:row r="66" ht="31.5" customHeight="1">
      <x:c r="A66" s="14" t="str">
        <x:v>REGISTER-REFERENCE-32690599750D</x:v>
      </x:c>
      <x:c r="B66" s="14" t="str">
        <x:v>data-api.ecb.europa.eu</x:v>
      </x:c>
      <x:c r="C66" s="14" t="str">
        <x:v>register_reference</x:v>
      </x:c>
      <x:c r="D66" s="14" t="str">
        <x:v>https://data-api.ecb.europa.eu/service/data/EXR/A.USD.EUR.SP00.A?startPeriod=2025&amp;endPeriod=2025&amp;format=csvdata</x:v>
      </x:c>
      <x:c r="E66" s="14" t="str">
        <x:v>2026-07-24</x:v>
      </x:c>
    </x:row>
    <x:row r="67" ht="31.5" customHeight="1">
      <x:c r="A67" s="14" t="str">
        <x:v>REGISTER-REFERENCE-9B93C76EF890</x:v>
      </x:c>
      <x:c r="B67" s="14" t="str">
        <x:v>data.ecb.europa.eu</x:v>
      </x:c>
      <x:c r="C67" s="14" t="str">
        <x:v>register_reference</x:v>
      </x:c>
      <x:c r="D67" s="14" t="str">
        <x:v>https://data.ecb.europa.eu/data/datasets/exr/data-information</x:v>
      </x:c>
      <x:c r="E67" s="14" t="str">
        <x:v>2026-07-24</x:v>
      </x:c>
    </x:row>
    <x:row r="68" ht="31.5" customHeight="1">
      <x:c r="A68" s="14" t="str">
        <x:v>REGISTER-REFERENCE-50ED634F402A</x:v>
      </x:c>
      <x:c r="B68" s="14" t="str">
        <x:v>ecb.europa.eu</x:v>
      </x:c>
      <x:c r="C68" s="14" t="str">
        <x:v>register_reference</x:v>
      </x:c>
      <x:c r="D68" s="14" t="str">
        <x:v>https://www.ecb.europa.eu/stats/policy_and_exchange_rates/euro_reference_exchange_rates/html/index.en.html</x:v>
      </x:c>
      <x:c r="E68" s="14" t="str">
        <x:v>2026-07-24</x:v>
      </x:c>
    </x:row>
    <x:row r="69" ht="31.5" customHeight="1">
      <x:c r="A69" s="14" t="str">
        <x:v>US-FTC-E-CIGARETTE-REPORT-2015-2018</x:v>
      </x:c>
      <x:c r="B69" s="14" t="str">
        <x:v>Federal Trade Commission</x:v>
      </x:c>
      <x:c r="C69" s="14" t="str">
        <x:v>official_report</x:v>
      </x:c>
      <x:c r="D69" s="14" t="str">
        <x:v>https://www.ftc.gov/reports/e-cigarette-report-2015-2018</x:v>
      </x:c>
      <x:c r="E69" s="14" t="str">
        <x:v>2026-07-24</x:v>
      </x:c>
    </x:row>
    <x:row r="70" ht="31.5" customHeight="1">
      <x:c r="A70" s="14" t="str">
        <x:v>US-FTC-E-CIGARETTE-REPORT-2021</x:v>
      </x:c>
      <x:c r="B70" s="14" t="str">
        <x:v>Federal Trade Commission</x:v>
      </x:c>
      <x:c r="C70" s="14" t="str">
        <x:v>official_report</x:v>
      </x:c>
      <x:c r="D70" s="14" t="str">
        <x:v>https://www.ftc.gov/reports/e-cigarette-report-2021</x:v>
      </x:c>
      <x:c r="E70" s="14" t="str">
        <x:v>2026-07-24</x:v>
      </x:c>
    </x:row>
    <x:row r="71" ht="31.5" customHeight="1">
      <x:c r="A71" s="14" t="str">
        <x:v>UN-MEMBER-STATES</x:v>
      </x:c>
      <x:c r="B71" s="14" t="str">
        <x:v>United Nations</x:v>
      </x:c>
      <x:c r="C71" s="14" t="str">
        <x:v>official_reference</x:v>
      </x:c>
      <x:c r="D71" s="14" t="str">
        <x:v>https://www.un.org/en/about-us/member-states</x:v>
      </x:c>
      <x:c r="E71" s="14" t="str">
        <x:v>2026-07-24</x:v>
      </x:c>
    </x:row>
    <x:row r="72" ht="31.5" customHeight="1">
      <x:c r="A72" s="15" t="str">
        <x:v>UN-NON-MEMBER-STATES</x:v>
      </x:c>
      <x:c r="B72" s="15" t="str">
        <x:v>United Nations</x:v>
      </x:c>
      <x:c r="C72" s="15" t="str">
        <x:v>official_reference</x:v>
      </x:c>
      <x:c r="D72" s="15" t="str">
        <x:v>https://www.un.org/en/about-us/non-member-states</x:v>
      </x:c>
      <x:c r="E72" s="15" t="str">
        <x:v>2026-07-24</x:v>
      </x:c>
    </x:row>
  </x:sheetData>
  <x:pageMargins left="0.7" right="0.7" top="0.75" bottom="0.75" header="0.3" footer="0.3"/>
  <x:tableParts count="1">
    <x:tablePart xmlns:r="http://schemas.openxmlformats.org/officeDocument/2006/relationships" r:id="R2dcf706411294d0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NZ-2022-NOTIFIABLE-PRODUCT-REPORTED-REVENUE</x:v>
      </x:c>
      <x:c r="C3" s="14" t="str">
        <x:v>official_reported_revenue_mixed_supply_stages</x:v>
      </x:c>
      <x:c r="D3" s="14" t="str">
        <x:v>New Zealand</x:v>
      </x:c>
      <x:c r="E3" s="14" t="n">
        <x:v>2022</x:v>
      </x:c>
      <x:c r="F3" s="14" t="str">
        <x:v>calendar_year</x:v>
      </x:c>
      <x:c r="G3" s="45" t="n">
        <x:v>404000000</x:v>
      </x:c>
      <x:c r="H3" s="45" t="str">
        <x:v>NZD</x:v>
      </x:c>
      <x:c r="I3" s="45" t="n">
        <x:v>1.6582474708171</x:v>
      </x:c>
      <x:c r="J3" s="45" t="n">
        <x:f>G3/I3</x:f>
        <x:v>243630704.7710613</x:v>
      </x:c>
      <x:c r="K3" s="14" t="str">
        <x:v>ECB-EXR-A-NZD-EUR-SP00-A-2022</x:v>
      </x:c>
      <x:c r="L3" s="14" t="str">
        <x:v>https://data-api.ecb.europa.eu/service/data/EXR/A.NZD.EUR.SP00.A?startPeriod=2022&amp;endPeriod=2022&amp;format=csvdata</x:v>
      </x:c>
      <x:c r="M3" s="14" t="str">
        <x:v>computed</x:v>
      </x:c>
      <x:c r="N3" s="14" t="str">
        <x:v>original_amount_divided_by_ecb_annual_average</x:v>
      </x:c>
    </x:row>
    <x:row r="4" ht="25.5" customHeight="1">
      <x:c r="A4" s="14" t="str">
        <x:v>market_observation</x:v>
      </x:c>
      <x:c r="B4" s="14" t="str">
        <x:v>NZ-2023-NOTIFIABLE-PRODUCT-REPORTED-REVENUE-LOWER-BOUND</x:v>
      </x:c>
      <x:c r="C4" s="14" t="str">
        <x:v>official_reported_revenue_mixed_supply_stages</x:v>
      </x:c>
      <x:c r="D4" s="14" t="str">
        <x:v>New Zealand</x:v>
      </x:c>
      <x:c r="E4" s="14" t="n">
        <x:v>2023</x:v>
      </x:c>
      <x:c r="F4" s="14" t="str">
        <x:v>calendar_year</x:v>
      </x:c>
      <x:c r="G4" s="45" t="n">
        <x:v>374000000</x:v>
      </x:c>
      <x:c r="H4" s="45" t="str">
        <x:v>NZD</x:v>
      </x:c>
      <x:c r="I4" s="45" t="n">
        <x:v>1.762151372549</x:v>
      </x:c>
      <x:c r="J4" s="45" t="n">
        <x:f>G4/I4</x:f>
        <x:v>212240563.33991262</x:v>
      </x:c>
      <x:c r="K4" s="14" t="str">
        <x:v>ECB-EXR-A-NZD-EUR-SP00-A-2023</x:v>
      </x:c>
      <x:c r="L4" s="14" t="str">
        <x:v>https://data-api.ecb.europa.eu/service/data/EXR/A.NZD.EUR.SP00.A?startPeriod=2023&amp;endPeriod=2023&amp;format=csvdata</x:v>
      </x:c>
      <x:c r="M4" s="14" t="str">
        <x:v>computed</x:v>
      </x:c>
      <x:c r="N4" s="14" t="str">
        <x:v>original_amount_divided_by_ecb_annual_average</x:v>
      </x:c>
    </x:row>
    <x:row r="5" ht="25.5" customHeight="1">
      <x:c r="A5" s="14" t="str">
        <x:v>market_observation</x:v>
      </x:c>
      <x:c r="B5" s="14" t="str">
        <x:v>NZ-2024-SPECIALIST-RETAIL-SALES-LOWER-BOUND</x:v>
      </x:c>
      <x:c r="C5" s="14" t="str">
        <x:v>official_specialist_retail_sales_lower_bound</x:v>
      </x:c>
      <x:c r="D5" s="14" t="str">
        <x:v>New Zealand</x:v>
      </x:c>
      <x:c r="E5" s="14" t="n">
        <x:v>2024</x:v>
      </x:c>
      <x:c r="F5" s="14" t="str">
        <x:v>calendar_year</x:v>
      </x:c>
      <x:c r="G5" s="45" t="n">
        <x:v>280000000</x:v>
      </x:c>
      <x:c r="H5" s="45" t="str">
        <x:v>NZD</x:v>
      </x:c>
      <x:c r="I5" s="45" t="n">
        <x:v>1.788048828125</x:v>
      </x:c>
      <x:c r="J5" s="45" t="n">
        <x:f>G5/I5</x:f>
        <x:v>156595276.14445302</x:v>
      </x:c>
      <x:c r="K5" s="14" t="str">
        <x:v>ECB-EXR-A-NZD-EUR-SP00-A-2024</x:v>
      </x:c>
      <x:c r="L5" s="14" t="str">
        <x:v>https://data-api.ecb.europa.eu/service/data/EXR/A.NZD.EUR.SP00.A?startPeriod=2024&amp;endPeriod=2024&amp;format=csvdata</x:v>
      </x:c>
      <x:c r="M5" s="14" t="str">
        <x:v>computed</x:v>
      </x:c>
      <x:c r="N5" s="14" t="str">
        <x:v>original_amount_divided_by_ecb_annual_average</x:v>
      </x:c>
    </x:row>
    <x:row r="6" ht="25.5" customHeight="1">
      <x:c r="A6" s="14" t="str">
        <x:v>market_observation</x:v>
      </x:c>
      <x:c r="B6" s="14" t="str">
        <x:v>NZ-2024-SPECIALIST-RETAIL-PRODUCT-SALES-RAW-FILE-SUM</x:v>
      </x:c>
      <x:c r="C6" s="14" t="str">
        <x:v>derived_official_workbook_sales_raw_sum</x:v>
      </x:c>
      <x:c r="D6" s="14" t="str">
        <x:v>New Zealand</x:v>
      </x:c>
      <x:c r="E6" s="14" t="n">
        <x:v>2024</x:v>
      </x:c>
      <x:c r="F6" s="14" t="str">
        <x:v>calendar_year</x:v>
      </x:c>
      <x:c r="G6" s="45" t="n">
        <x:v>280684512.81</x:v>
      </x:c>
      <x:c r="H6" s="45" t="str">
        <x:v>NZD</x:v>
      </x:c>
      <x:c r="I6" s="45" t="n">
        <x:v>1.788048828125</x:v>
      </x:c>
      <x:c r="J6" s="45" t="n">
        <x:f>G6/I6</x:f>
        <x:v>156978102.83197576</x:v>
      </x:c>
      <x:c r="K6" s="14" t="str">
        <x:v>ECB-EXR-A-NZD-EUR-SP00-A-2024</x:v>
      </x:c>
      <x:c r="L6" s="14" t="str">
        <x:v>https://data-api.ecb.europa.eu/service/data/EXR/A.NZD.EUR.SP00.A?startPeriod=2024&amp;endPeriod=2024&amp;format=csvdata</x:v>
      </x:c>
      <x:c r="M6" s="14" t="str">
        <x:v>computed</x:v>
      </x:c>
      <x:c r="N6" s="14" t="str">
        <x:v>original_amount_divided_by_ecb_annual_average</x:v>
      </x:c>
    </x:row>
    <x:row r="7" ht="25.5" customHeight="1">
      <x:c r="A7" s="14" t="str">
        <x:v>market_observation</x:v>
      </x:c>
      <x:c r="B7" s="14" t="str">
        <x:v>NZ-2024-IDENTIFIED-VAPING-PRODUCT-SALES-RAW-SUM</x:v>
      </x:c>
      <x:c r="C7" s="14" t="str">
        <x:v>derived_identified_vaping_product_sales_raw_sum</x:v>
      </x:c>
      <x:c r="D7" s="14" t="str">
        <x:v>New Zealand</x:v>
      </x:c>
      <x:c r="E7" s="14" t="n">
        <x:v>2024</x:v>
      </x:c>
      <x:c r="F7" s="14" t="str">
        <x:v>calendar_year</x:v>
      </x:c>
      <x:c r="G7" s="45" t="n">
        <x:v>274180410.21</x:v>
      </x:c>
      <x:c r="H7" s="45" t="str">
        <x:v>NZD</x:v>
      </x:c>
      <x:c r="I7" s="45" t="n">
        <x:v>1.788048828125</x:v>
      </x:c>
      <x:c r="J7" s="45" t="n">
        <x:f>G7/I7</x:f>
        <x:v>153340560.89369413</x:v>
      </x:c>
      <x:c r="K7" s="14" t="str">
        <x:v>ECB-EXR-A-NZD-EUR-SP00-A-2024</x:v>
      </x:c>
      <x:c r="L7" s="14" t="str">
        <x:v>https://data-api.ecb.europa.eu/service/data/EXR/A.NZD.EUR.SP00.A?startPeriod=2024&amp;endPeriod=2024&amp;format=csvdata</x:v>
      </x:c>
      <x:c r="M7" s="14" t="str">
        <x:v>computed</x:v>
      </x:c>
      <x:c r="N7" s="14" t="str">
        <x:v>original_amount_divided_by_ecb_annual_average</x:v>
      </x:c>
    </x:row>
    <x:row r="8" ht="25.5" customHeight="1">
      <x:c r="A8" s="14" t="str">
        <x:v>market_observation</x:v>
      </x:c>
      <x:c r="B8" s="14" t="str">
        <x:v>EU-2023-EC-E-CIGARETTE-MARKET-BENCHMARK</x:v>
      </x:c>
      <x:c r="C8" s="14" t="str">
        <x:v>institutional_market_value_benchmark</x:v>
      </x:c>
      <x:c r="D8" s="14" t="str">
        <x:v>European Union</x:v>
      </x:c>
      <x:c r="E8" s="14" t="n">
        <x:v>2023</x:v>
      </x:c>
      <x:c r="F8" s="14" t="str">
        <x:v>calendar_year</x:v>
      </x:c>
      <x:c r="G8" s="45" t="n">
        <x:v>4990000000</x:v>
      </x:c>
      <x:c r="H8" s="45" t="str">
        <x:v>EUR</x:v>
      </x:c>
      <x:c r="I8" s="45" t="n">
        <x:v>1</x:v>
      </x:c>
      <x:c r="J8" s="45" t="n">
        <x:f>G8</x:f>
        <x:v>4990000000</x:v>
      </x:c>
      <x:c r="K8" s="14" t="str">
        <x:v>EUR-IDENTITY</x:v>
      </x:c>
      <x:c r="L8" s="14" t="str">
        <x:v>https://www.ecb.europa.eu/stats/policy_and_exchange_rates/euro_reference_exchange_rates/html/index.en.html</x:v>
      </x:c>
      <x:c r="M8" s="14" t="str">
        <x:v>already_eur</x:v>
      </x:c>
      <x:c r="N8" s="14" t="str">
        <x:v>original_currency_already_eur</x:v>
      </x:c>
    </x:row>
    <x:row r="9" ht="25.5" customHeight="1">
      <x:c r="A9" s="14" t="str">
        <x:v>market_observation</x:v>
      </x:c>
      <x:c r="B9" s="14" t="str">
        <x:v>DE-2023-SUBSTITUTES-EXCISE-RECEIPTS</x:v>
      </x:c>
      <x:c r="C9" s="14" t="str">
        <x:v>substitutes_excise_receipts</x:v>
      </x:c>
      <x:c r="D9" s="14" t="str">
        <x:v>Germany</x:v>
      </x:c>
      <x:c r="E9" s="14" t="n">
        <x:v>2023</x:v>
      </x:c>
      <x:c r="F9" s="14" t="str">
        <x:v>calendar_year</x:v>
      </x:c>
      <x:c r="G9" s="45" t="n">
        <x:v>201000000</x:v>
      </x:c>
      <x:c r="H9" s="45" t="str">
        <x:v>EUR</x:v>
      </x:c>
      <x:c r="I9" s="45" t="n">
        <x:v>1</x:v>
      </x:c>
      <x:c r="J9" s="45" t="n">
        <x:f>G9</x:f>
        <x:v>201000000</x:v>
      </x:c>
      <x:c r="K9" s="14" t="str">
        <x:v>EUR-IDENTITY</x:v>
      </x:c>
      <x:c r="L9" s="14" t="str">
        <x:v>https://www.ecb.europa.eu/stats/policy_and_exchange_rates/euro_reference_exchange_rates/html/index.en.html</x:v>
      </x:c>
      <x:c r="M9" s="14" t="str">
        <x:v>already_eur</x:v>
      </x:c>
      <x:c r="N9" s="14" t="str">
        <x:v>original_currency_already_eur</x:v>
      </x:c>
    </x:row>
    <x:row r="10" ht="25.5" customHeight="1">
      <x:c r="A10" s="14" t="str">
        <x:v>market_observation</x:v>
      </x:c>
      <x:c r="B10" s="14" t="str">
        <x:v>DE-2024-SUBSTITUTES-EXCISE-RECEIPTS</x:v>
      </x:c>
      <x:c r="C10" s="14" t="str">
        <x:v>substitutes_excise_receipts</x:v>
      </x:c>
      <x:c r="D10" s="14" t="str">
        <x:v>Germany</x:v>
      </x:c>
      <x:c r="E10" s="14" t="n">
        <x:v>2024</x:v>
      </x:c>
      <x:c r="F10" s="14" t="str">
        <x:v>calendar_year</x:v>
      </x:c>
      <x:c r="G10" s="45" t="n">
        <x:v>266000000</x:v>
      </x:c>
      <x:c r="H10" s="45" t="str">
        <x:v>EUR</x:v>
      </x:c>
      <x:c r="I10" s="45" t="n">
        <x:v>1</x:v>
      </x:c>
      <x:c r="J10" s="45" t="n">
        <x:f>G10</x:f>
        <x:v>266000000</x:v>
      </x:c>
      <x:c r="K10" s="14" t="str">
        <x:v>EUR-IDENTITY</x:v>
      </x:c>
      <x:c r="L10" s="14" t="str">
        <x:v>https://www.ecb.europa.eu/stats/policy_and_exchange_rates/euro_reference_exchange_rates/html/index.en.html</x:v>
      </x:c>
      <x:c r="M10" s="14" t="str">
        <x:v>already_eur</x:v>
      </x:c>
      <x:c r="N10" s="14" t="str">
        <x:v>original_currency_already_eur</x:v>
      </x:c>
    </x:row>
    <x:row r="11" ht="25.5" customHeight="1">
      <x:c r="A11" s="14" t="str">
        <x:v>market_observation</x:v>
      </x:c>
      <x:c r="B11" s="14" t="str">
        <x:v>DE-2025-SUBSTITUTES-EXCISE-RECEIPTS</x:v>
      </x:c>
      <x:c r="C11" s="14" t="str">
        <x:v>substitutes_excise_receipts</x:v>
      </x:c>
      <x:c r="D11" s="14" t="str">
        <x:v>Germany</x:v>
      </x:c>
      <x:c r="E11" s="14" t="n">
        <x:v>2025</x:v>
      </x:c>
      <x:c r="F11" s="14" t="str">
        <x:v>calendar_year</x:v>
      </x:c>
      <x:c r="G11" s="45" t="n">
        <x:v>404000000</x:v>
      </x:c>
      <x:c r="H11" s="45" t="str">
        <x:v>EUR</x:v>
      </x:c>
      <x:c r="I11" s="45" t="n">
        <x:v>1</x:v>
      </x:c>
      <x:c r="J11" s="45" t="n">
        <x:f>G11</x:f>
        <x:v>404000000</x:v>
      </x:c>
      <x:c r="K11" s="14" t="str">
        <x:v>EUR-IDENTITY</x:v>
      </x:c>
      <x:c r="L11" s="14" t="str">
        <x:v>https://www.ecb.europa.eu/stats/policy_and_exchange_rates/euro_reference_exchange_rates/html/index.en.html</x:v>
      </x:c>
      <x:c r="M11" s="14" t="str">
        <x:v>already_eur</x:v>
      </x:c>
      <x:c r="N11" s="14" t="str">
        <x:v>original_currency_already_eur</x:v>
      </x:c>
    </x:row>
    <x:row r="12" ht="25.5" customHeight="1">
      <x:c r="A12" s="14" t="str">
        <x:v>market_observation</x:v>
      </x:c>
      <x:c r="B12" s="14" t="str">
        <x:v>FI-2025-NICOTINE-E-LIQUID-EXCISE-RECEIPTS</x:v>
      </x:c>
      <x:c r="C12" s="14" t="str">
        <x:v>nicotine_e_liquid_excise_receipts</x:v>
      </x:c>
      <x:c r="D12" s="14" t="str">
        <x:v>Finland</x:v>
      </x:c>
      <x:c r="E12" s="14" t="n">
        <x:v>2025</x:v>
      </x:c>
      <x:c r="F12" s="14" t="str">
        <x:v>calendar_year</x:v>
      </x:c>
      <x:c r="G12" s="45" t="n">
        <x:v>3540319</x:v>
      </x:c>
      <x:c r="H12" s="45" t="str">
        <x:v>EUR</x:v>
      </x:c>
      <x:c r="I12" s="45" t="n">
        <x:v>1</x:v>
      </x:c>
      <x:c r="J12" s="45" t="n">
        <x:f>G12</x:f>
        <x:v>3540319</x:v>
      </x:c>
      <x:c r="K12" s="14" t="str">
        <x:v>EUR-IDENTITY</x:v>
      </x:c>
      <x:c r="L12" s="14" t="str">
        <x:v>https://www.ecb.europa.eu/stats/policy_and_exchange_rates/euro_reference_exchange_rates/html/index.en.html</x:v>
      </x:c>
      <x:c r="M12" s="14" t="str">
        <x:v>already_eur</x:v>
      </x:c>
      <x:c r="N12" s="14" t="str">
        <x:v>original_currency_already_eur</x:v>
      </x:c>
    </x:row>
    <x:row r="13" ht="25.5" customHeight="1">
      <x:c r="A13" s="14" t="str">
        <x:v>market_observation</x:v>
      </x:c>
      <x:c r="B13" s="14" t="str">
        <x:v>PL-2025-E-LIQUID-EXCISE-AMOUNT</x:v>
      </x:c>
      <x:c r="C13" s="14" t="str">
        <x:v>e_liquid_excise_amount</x:v>
      </x:c>
      <x:c r="D13" s="14" t="str">
        <x:v>Poland</x:v>
      </x:c>
      <x:c r="E13" s="14" t="n">
        <x:v>2025</x:v>
      </x:c>
      <x:c r="F13" s="14" t="str">
        <x:v>calendar_year</x:v>
      </x:c>
      <x:c r="G13" s="45" t="n">
        <x:v>993100000</x:v>
      </x:c>
      <x:c r="H13" s="45" t="str">
        <x:v>PLN</x:v>
      </x:c>
      <x:c r="I13" s="45" t="n">
        <x:v>4.2396576470588</x:v>
      </x:c>
      <x:c r="J13" s="45" t="n">
        <x:f>G13/I13</x:f>
        <x:v>234240611.54771507</x:v>
      </x:c>
      <x:c r="K13" s="14" t="str">
        <x:v>ECB-EXR-A-PLN-EUR-SP00-A-2025</x:v>
      </x:c>
      <x:c r="L13" s="14" t="str">
        <x:v>https://data-api.ecb.europa.eu/service/data/EXR/A.PLN.EUR.SP00.A?startPeriod=2025&amp;endPeriod=2025&amp;format=csvdata</x:v>
      </x:c>
      <x:c r="M13" s="14" t="str">
        <x:v>computed</x:v>
      </x:c>
      <x:c r="N13" s="14" t="str">
        <x:v>original_amount_divided_by_ecb_annual_average</x:v>
      </x:c>
    </x:row>
    <x:row r="14" ht="25.5" customHeight="1">
      <x:c r="A14" s="14" t="str">
        <x:v>market_observation</x:v>
      </x:c>
      <x:c r="B14" s="14" t="str">
        <x:v>PL-2025-VAPING-DEVICE-EXCISE-AMOUNT</x:v>
      </x:c>
      <x:c r="C14" s="14" t="str">
        <x:v>vaping_device_excise_amount</x:v>
      </x:c>
      <x:c r="D14" s="14" t="str">
        <x:v>Poland</x:v>
      </x:c>
      <x:c r="E14" s="14" t="n">
        <x:v>2025</x:v>
      </x:c>
      <x:c r="F14" s="14" t="str">
        <x:v>calendar_year</x:v>
      </x:c>
      <x:c r="G14" s="45" t="n">
        <x:v>175300000</x:v>
      </x:c>
      <x:c r="H14" s="45" t="str">
        <x:v>PLN</x:v>
      </x:c>
      <x:c r="I14" s="45" t="n">
        <x:v>4.2396576470588</x:v>
      </x:c>
      <x:c r="J14" s="45" t="n">
        <x:f>G14/I14</x:f>
        <x:v>41347678.183782555</x:v>
      </x:c>
      <x:c r="K14" s="14" t="str">
        <x:v>ECB-EXR-A-PLN-EUR-SP00-A-2025</x:v>
      </x:c>
      <x:c r="L14" s="14" t="str">
        <x:v>https://data-api.ecb.europa.eu/service/data/EXR/A.PLN.EUR.SP00.A?startPeriod=2025&amp;endPeriod=2025&amp;format=csvdata</x:v>
      </x:c>
      <x:c r="M14" s="14" t="str">
        <x:v>computed</x:v>
      </x:c>
      <x:c r="N14" s="14" t="str">
        <x:v>original_amount_divided_by_ecb_annual_average</x:v>
      </x:c>
    </x:row>
    <x:row r="15" ht="25.5" customHeight="1">
      <x:c r="A15" s="14" t="str">
        <x:v>market_observation</x:v>
      </x:c>
      <x:c r="B15" s="14" t="str">
        <x:v>PL-2025-VAPING-COMPONENT-SETS-EXCISE-AMOUNT</x:v>
      </x:c>
      <x:c r="C15" s="14" t="str">
        <x:v>vaping_component_sets_excise_amount</x:v>
      </x:c>
      <x:c r="D15" s="14" t="str">
        <x:v>Poland</x:v>
      </x:c>
      <x:c r="E15" s="14" t="n">
        <x:v>2025</x:v>
      </x:c>
      <x:c r="F15" s="14" t="str">
        <x:v>calendar_year</x:v>
      </x:c>
      <x:c r="G15" s="45" t="n">
        <x:v>2500000</x:v>
      </x:c>
      <x:c r="H15" s="45" t="str">
        <x:v>PLN</x:v>
      </x:c>
      <x:c r="I15" s="45" t="n">
        <x:v>4.2396576470588</x:v>
      </x:c>
      <x:c r="J15" s="45" t="n">
        <x:f>G15/I15</x:f>
        <x:v>589670.2536192606</x:v>
      </x:c>
      <x:c r="K15" s="14" t="str">
        <x:v>ECB-EXR-A-PLN-EUR-SP00-A-2025</x:v>
      </x:c>
      <x:c r="L15" s="14" t="str">
        <x:v>https://data-api.ecb.europa.eu/service/data/EXR/A.PLN.EUR.SP00.A?startPeriod=2025&amp;endPeriod=2025&amp;format=csvdata</x:v>
      </x:c>
      <x:c r="M15" s="14" t="str">
        <x:v>computed</x:v>
      </x:c>
      <x:c r="N15" s="14" t="str">
        <x:v>original_amount_divided_by_ecb_annual_average</x:v>
      </x:c>
    </x:row>
    <x:row r="16" ht="25.5" customHeight="1">
      <x:c r="A16" s="14" t="str">
        <x:v>market_observation</x:v>
      </x:c>
      <x:c r="B16" s="14" t="str">
        <x:v>SE-2024-NICOTINE-E-LIQUID-EXCISE-RECEIPTS</x:v>
      </x:c>
      <x:c r="C16" s="14" t="str">
        <x:v>nicotine_e_liquid_excise_receipts</x:v>
      </x:c>
      <x:c r="D16" s="14" t="str">
        <x:v>Sweden</x:v>
      </x:c>
      <x:c r="E16" s="14" t="n">
        <x:v>2024</x:v>
      </x:c>
      <x:c r="F16" s="14" t="str">
        <x:v>calendar_year</x:v>
      </x:c>
      <x:c r="G16" s="45" t="n">
        <x:v>80000000</x:v>
      </x:c>
      <x:c r="H16" s="45" t="str">
        <x:v>SEK</x:v>
      </x:c>
      <x:c r="I16" s="45" t="n">
        <x:v>11.432519140625</x:v>
      </x:c>
      <x:c r="J16" s="45" t="n">
        <x:f>G16/I16</x:f>
        <x:v>6997582.861306848</x:v>
      </x:c>
      <x:c r="K16" s="14" t="str">
        <x:v>ECB-EXR-A-SEK-EUR-SP00-A-2024</x:v>
      </x:c>
      <x:c r="L16" s="14" t="str">
        <x:v>https://data-api.ecb.europa.eu/service/data/EXR/A.SEK.EUR.SP00.A?startPeriod=2024&amp;endPeriod=2024&amp;format=csvdata</x:v>
      </x:c>
      <x:c r="M16" s="14" t="str">
        <x:v>computed</x:v>
      </x:c>
      <x:c r="N16" s="14" t="str">
        <x:v>original_amount_divided_by_ecb_annual_average</x:v>
      </x:c>
    </x:row>
    <x:row r="17" ht="25.5" customHeight="1">
      <x:c r="A17" s="14" t="str">
        <x:v>market_observation</x:v>
      </x:c>
      <x:c r="B17" s="14" t="str">
        <x:v>GLOBAL-2025-IMARC-COMMERCIAL-ESTIMATE</x:v>
      </x:c>
      <x:c r="C17" s="14" t="str">
        <x:v>commercial_market_estimate</x:v>
      </x:c>
      <x:c r="D17" s="14" t="str">
        <x:v>Global</x:v>
      </x:c>
      <x:c r="E17" s="14" t="n">
        <x:v>2025</x:v>
      </x:c>
      <x:c r="F17" s="14" t="str">
        <x:v>calendar_year_estimate</x:v>
      </x:c>
      <x:c r="G17" s="45" t="n">
        <x:v>26000000000</x:v>
      </x:c>
      <x:c r="H17" s="45" t="str">
        <x:v>USD</x:v>
      </x:c>
      <x:c r="I17" s="45" t="n">
        <x:v>1.1299831372549</x:v>
      </x:c>
      <x:c r="J17" s="45" t="n">
        <x:f>G17/I17</x:f>
        <x:v>23009192918.721367</x:v>
      </x:c>
      <x:c r="K17" s="14" t="str">
        <x:v>ECB-EXR-A-USD-EUR-SP00-A-2025</x:v>
      </x:c>
      <x:c r="L17" s="14" t="str">
        <x:v>https://data-api.ecb.europa.eu/service/data/EXR/A.USD.EUR.SP00.A?startPeriod=2025&amp;endPeriod=2025&amp;format=csvdata</x:v>
      </x:c>
      <x:c r="M17" s="14" t="str">
        <x:v>computed</x:v>
      </x:c>
      <x:c r="N17" s="14" t="str">
        <x:v>original_amount_divided_by_ecb_annual_average</x:v>
      </x:c>
    </x:row>
    <x:row r="18" ht="25.5" customHeight="1">
      <x:c r="A18" s="14" t="str">
        <x:v>market_observation</x:v>
      </x:c>
      <x:c r="B18" s="14" t="str">
        <x:v>GLOBAL-2025-GVR-COMMERCIAL-ESTIMATE</x:v>
      </x:c>
      <x:c r="C18" s="14" t="str">
        <x:v>commercial_market_estimate</x:v>
      </x:c>
      <x:c r="D18" s="14" t="str">
        <x:v>Global</x:v>
      </x:c>
      <x:c r="E18" s="14" t="n">
        <x:v>2025</x:v>
      </x:c>
      <x:c r="F18" s="14" t="str">
        <x:v>calendar_year_estimate</x:v>
      </x:c>
      <x:c r="G18" s="45" t="n">
        <x:v>45700000000</x:v>
      </x:c>
      <x:c r="H18" s="45" t="str">
        <x:v>USD</x:v>
      </x:c>
      <x:c r="I18" s="45" t="n">
        <x:v>1.1299831372549</x:v>
      </x:c>
      <x:c r="J18" s="45" t="n">
        <x:f>G18/I18</x:f>
        <x:v>40443081399.44486</x:v>
      </x:c>
      <x:c r="K18" s="14" t="str">
        <x:v>ECB-EXR-A-USD-EUR-SP00-A-2025</x:v>
      </x:c>
      <x:c r="L18" s="14" t="str">
        <x:v>https://data-api.ecb.europa.eu/service/data/EXR/A.USD.EUR.SP00.A?startPeriod=2025&amp;endPeriod=2025&amp;format=csvdata</x:v>
      </x:c>
      <x:c r="M18" s="14" t="str">
        <x:v>computed</x:v>
      </x:c>
      <x:c r="N18" s="14" t="str">
        <x:v>original_amount_divided_by_ecb_annual_average</x:v>
      </x:c>
    </x:row>
    <x:row r="19" ht="25.5" customHeight="1">
      <x:c r="A19" s="14" t="str">
        <x:v>market_observation</x:v>
      </x:c>
      <x:c r="B19" s="14" t="str">
        <x:v>GLOBAL-2025-FORTUNE-COMMERCIAL-ESTIMATE</x:v>
      </x:c>
      <x:c r="C19" s="14" t="str">
        <x:v>commercial_market_estimate</x:v>
      </x:c>
      <x:c r="D19" s="14" t="str">
        <x:v>Global</x:v>
      </x:c>
      <x:c r="E19" s="14" t="n">
        <x:v>2025</x:v>
      </x:c>
      <x:c r="F19" s="14" t="str">
        <x:v>calendar_year_estimate</x:v>
      </x:c>
      <x:c r="G19" s="45" t="n">
        <x:v>46320000000</x:v>
      </x:c>
      <x:c r="H19" s="45" t="str">
        <x:v>USD</x:v>
      </x:c>
      <x:c r="I19" s="45" t="n">
        <x:v>1.1299831372549</x:v>
      </x:c>
      <x:c r="J19" s="45" t="n">
        <x:f>G19/I19</x:f>
        <x:v>40991762153.66052</x:v>
      </x:c>
      <x:c r="K19" s="14" t="str">
        <x:v>ECB-EXR-A-USD-EUR-SP00-A-2025</x:v>
      </x:c>
      <x:c r="L19" s="14" t="str">
        <x:v>https://data-api.ecb.europa.eu/service/data/EXR/A.USD.EUR.SP00.A?startPeriod=2025&amp;endPeriod=2025&amp;format=csvdata</x:v>
      </x:c>
      <x:c r="M19" s="14" t="str">
        <x:v>computed</x:v>
      </x:c>
      <x:c r="N19" s="14" t="str">
        <x:v>original_amount_divided_by_ecb_annual_average</x:v>
      </x:c>
    </x:row>
    <x:row r="20" ht="25.5" customHeight="1">
      <x:c r="A20" s="14" t="str">
        <x:v>market_observation</x:v>
      </x:c>
      <x:c r="B20" s="14" t="str">
        <x:v>US-2015-FTC-CARTRIDGE-DISPOSABLE-REPORTED-SALES</x:v>
      </x:c>
      <x:c r="C20" s="14" t="str">
        <x:v>ftc_reported_cartridge_and_disposable_sales</x:v>
      </x:c>
      <x:c r="D20" s="14" t="str">
        <x:v>United States</x:v>
      </x:c>
      <x:c r="E20" s="14" t="n">
        <x:v>2015</x:v>
      </x:c>
      <x:c r="F20" s="14" t="str">
        <x:v>calendar_year</x:v>
      </x:c>
      <x:c r="G20" s="45" t="n">
        <x:v>304170046</x:v>
      </x:c>
      <x:c r="H20" s="45" t="str">
        <x:v>USD</x:v>
      </x:c>
      <x:c r="I20" s="45" t="n">
        <x:v>1.109512890625</x:v>
      </x:c>
      <x:c r="J20" s="45" t="n">
        <x:f>G20/I20</x:f>
        <x:v>274147374.5552049</x:v>
      </x:c>
      <x:c r="K20" s="14" t="str">
        <x:v>ECB-EXR-A-USD-EUR-SP00-A-2015</x:v>
      </x:c>
      <x:c r="L20" s="14" t="str">
        <x:v>https://data-api.ecb.europa.eu/service/data/EXR/A.USD.EUR.SP00.A?startPeriod=2015&amp;endPeriod=2015&amp;format=csvdata</x:v>
      </x:c>
      <x:c r="M20" s="14" t="str">
        <x:v>computed</x:v>
      </x:c>
      <x:c r="N20" s="14" t="str">
        <x:v>original_amount_divided_by_ecb_annual_average</x:v>
      </x:c>
    </x:row>
    <x:row r="21" ht="25.5" customHeight="1">
      <x:c r="A21" s="14" t="str">
        <x:v>market_observation</x:v>
      </x:c>
      <x:c r="B21" s="14" t="str">
        <x:v>US-2016-FTC-CARTRIDGE-DISPOSABLE-REPORTED-SALES</x:v>
      </x:c>
      <x:c r="C21" s="14" t="str">
        <x:v>ftc_reported_cartridge_and_disposable_sales</x:v>
      </x:c>
      <x:c r="D21" s="14" t="str">
        <x:v>United States</x:v>
      </x:c>
      <x:c r="E21" s="14" t="n">
        <x:v>2016</x:v>
      </x:c>
      <x:c r="F21" s="14" t="str">
        <x:v>calendar_year</x:v>
      </x:c>
      <x:c r="G21" s="45" t="n">
        <x:v>485707484</x:v>
      </x:c>
      <x:c r="H21" s="45" t="str">
        <x:v>USD</x:v>
      </x:c>
      <x:c r="I21" s="45" t="n">
        <x:v>1.1069031128405</x:v>
      </x:c>
      <x:c r="J21" s="45" t="n">
        <x:f>G21/I21</x:f>
        <x:v>438798552.7961817</x:v>
      </x:c>
      <x:c r="K21" s="14" t="str">
        <x:v>ECB-EXR-A-USD-EUR-SP00-A-2016</x:v>
      </x:c>
      <x:c r="L21" s="14" t="str">
        <x:v>https://data-api.ecb.europa.eu/service/data/EXR/A.USD.EUR.SP00.A?startPeriod=2016&amp;endPeriod=2016&amp;format=csvdata</x:v>
      </x:c>
      <x:c r="M21" s="14" t="str">
        <x:v>computed</x:v>
      </x:c>
      <x:c r="N21" s="14" t="str">
        <x:v>original_amount_divided_by_ecb_annual_average</x:v>
      </x:c>
    </x:row>
    <x:row r="22" ht="25.5" customHeight="1">
      <x:c r="A22" s="14" t="str">
        <x:v>market_observation</x:v>
      </x:c>
      <x:c r="B22" s="14" t="str">
        <x:v>US-2017-FTC-CARTRIDGE-DISPOSABLE-REPORTED-SALES</x:v>
      </x:c>
      <x:c r="C22" s="14" t="str">
        <x:v>ftc_reported_cartridge_and_disposable_sales</x:v>
      </x:c>
      <x:c r="D22" s="14" t="str">
        <x:v>United States</x:v>
      </x:c>
      <x:c r="E22" s="14" t="n">
        <x:v>2017</x:v>
      </x:c>
      <x:c r="F22" s="14" t="str">
        <x:v>calendar_year</x:v>
      </x:c>
      <x:c r="G22" s="45" t="n">
        <x:v>779836399</x:v>
      </x:c>
      <x:c r="H22" s="45" t="str">
        <x:v>USD</x:v>
      </x:c>
      <x:c r="I22" s="45" t="n">
        <x:v>1.1296811764706</x:v>
      </x:c>
      <x:c r="J22" s="45" t="n">
        <x:f>G22/I22</x:f>
        <x:v>690315475.943752</x:v>
      </x:c>
      <x:c r="K22" s="14" t="str">
        <x:v>ECB-EXR-A-USD-EUR-SP00-A-2017</x:v>
      </x:c>
      <x:c r="L22" s="14" t="str">
        <x:v>https://data-api.ecb.europa.eu/service/data/EXR/A.USD.EUR.SP00.A?startPeriod=2017&amp;endPeriod=2017&amp;format=csvdata</x:v>
      </x:c>
      <x:c r="M22" s="14" t="str">
        <x:v>computed</x:v>
      </x:c>
      <x:c r="N22" s="14" t="str">
        <x:v>original_amount_divided_by_ecb_annual_average</x:v>
      </x:c>
    </x:row>
    <x:row r="23" ht="25.5" customHeight="1">
      <x:c r="A23" s="14" t="str">
        <x:v>market_observation</x:v>
      </x:c>
      <x:c r="B23" s="14" t="str">
        <x:v>US-2018-FTC-CARTRIDGE-DISPOSABLE-REPORTED-SALES</x:v>
      </x:c>
      <x:c r="C23" s="14" t="str">
        <x:v>ftc_reported_cartridge_and_disposable_sales</x:v>
      </x:c>
      <x:c r="D23" s="14" t="str">
        <x:v>United States</x:v>
      </x:c>
      <x:c r="E23" s="14" t="n">
        <x:v>2018</x:v>
      </x:c>
      <x:c r="F23" s="14" t="str">
        <x:v>calendar_year</x:v>
      </x:c>
      <x:c r="G23" s="45" t="n">
        <x:v>2043703005</x:v>
      </x:c>
      <x:c r="H23" s="45" t="str">
        <x:v>USD</x:v>
      </x:c>
      <x:c r="I23" s="45" t="n">
        <x:v>1.1809545098039</x:v>
      </x:c>
      <x:c r="J23" s="45" t="n">
        <x:f>G23/I23</x:f>
        <x:v>1730551844.3207107</x:v>
      </x:c>
      <x:c r="K23" s="14" t="str">
        <x:v>ECB-EXR-A-USD-EUR-SP00-A-2018</x:v>
      </x:c>
      <x:c r="L23" s="14" t="str">
        <x:v>https://data-api.ecb.europa.eu/service/data/EXR/A.USD.EUR.SP00.A?startPeriod=2018&amp;endPeriod=2018&amp;format=csvdata</x:v>
      </x:c>
      <x:c r="M23" s="14" t="str">
        <x:v>computed</x:v>
      </x:c>
      <x:c r="N23" s="14" t="str">
        <x:v>original_amount_divided_by_ecb_annual_average</x:v>
      </x:c>
    </x:row>
    <x:row r="24" ht="25.5" customHeight="1">
      <x:c r="A24" s="14" t="str">
        <x:v>market_observation</x:v>
      </x:c>
      <x:c r="B24" s="14" t="str">
        <x:v>US-2019-FTC-CARTRIDGE-DISPOSABLE-REPORTED-SALES</x:v>
      </x:c>
      <x:c r="C24" s="14" t="str">
        <x:v>ftc_reported_cartridge_and_disposable_sales</x:v>
      </x:c>
      <x:c r="D24" s="14" t="str">
        <x:v>United States</x:v>
      </x:c>
      <x:c r="E24" s="14" t="n">
        <x:v>2019</x:v>
      </x:c>
      <x:c r="F24" s="14" t="str">
        <x:v>calendar_year</x:v>
      </x:c>
      <x:c r="G24" s="45" t="n">
        <x:v>2702608307</x:v>
      </x:c>
      <x:c r="H24" s="45" t="str">
        <x:v>USD</x:v>
      </x:c>
      <x:c r="I24" s="45" t="n">
        <x:v>1.1194745098039</x:v>
      </x:c>
      <x:c r="J24" s="45" t="n">
        <x:f>G24/I24</x:f>
        <x:v>2414175832.796246</x:v>
      </x:c>
      <x:c r="K24" s="14" t="str">
        <x:v>ECB-EXR-A-USD-EUR-SP00-A-2019</x:v>
      </x:c>
      <x:c r="L24" s="14" t="str">
        <x:v>https://data-api.ecb.europa.eu/service/data/EXR/A.USD.EUR.SP00.A?startPeriod=2019&amp;endPeriod=2019&amp;format=csvdata</x:v>
      </x:c>
      <x:c r="M24" s="14" t="str">
        <x:v>computed</x:v>
      </x:c>
      <x:c r="N24" s="14" t="str">
        <x:v>original_amount_divided_by_ecb_annual_average</x:v>
      </x:c>
    </x:row>
    <x:row r="25" ht="25.5" customHeight="1">
      <x:c r="A25" s="14" t="str">
        <x:v>market_observation</x:v>
      </x:c>
      <x:c r="B25" s="14" t="str">
        <x:v>US-2020-FTC-CARTRIDGE-DISPOSABLE-REPORTED-SALES</x:v>
      </x:c>
      <x:c r="C25" s="14" t="str">
        <x:v>ftc_reported_cartridge_and_disposable_sales</x:v>
      </x:c>
      <x:c r="D25" s="14" t="str">
        <x:v>United States</x:v>
      </x:c>
      <x:c r="E25" s="14" t="n">
        <x:v>2020</x:v>
      </x:c>
      <x:c r="F25" s="14" t="str">
        <x:v>calendar_year</x:v>
      </x:c>
      <x:c r="G25" s="45" t="n">
        <x:v>2394423105</x:v>
      </x:c>
      <x:c r="H25" s="45" t="str">
        <x:v>USD</x:v>
      </x:c>
      <x:c r="I25" s="45" t="n">
        <x:v>1.1421961089494</x:v>
      </x:c>
      <x:c r="J25" s="45" t="n">
        <x:f>G25/I25</x:f>
        <x:v>2096332745.523365</x:v>
      </x:c>
      <x:c r="K25" s="14" t="str">
        <x:v>ECB-EXR-A-USD-EUR-SP00-A-2020</x:v>
      </x:c>
      <x:c r="L25" s="14" t="str">
        <x:v>https://data-api.ecb.europa.eu/service/data/EXR/A.USD.EUR.SP00.A?startPeriod=2020&amp;endPeriod=2020&amp;format=csvdata</x:v>
      </x:c>
      <x:c r="M25" s="14" t="str">
        <x:v>computed</x:v>
      </x:c>
      <x:c r="N25" s="14" t="str">
        <x:v>original_amount_divided_by_ecb_annual_average</x:v>
      </x:c>
    </x:row>
    <x:row r="26" ht="25.5" customHeight="1">
      <x:c r="A26" s="14" t="str">
        <x:v>market_observation</x:v>
      </x:c>
      <x:c r="B26" s="14" t="str">
        <x:v>US-2021-FTC-CARTRIDGE-DISPOSABLE-REPORTED-SALES</x:v>
      </x:c>
      <x:c r="C26" s="14" t="str">
        <x:v>ftc_reported_cartridge_and_disposable_sales</x:v>
      </x:c>
      <x:c r="D26" s="14" t="str">
        <x:v>United States</x:v>
      </x:c>
      <x:c r="E26" s="14" t="n">
        <x:v>2021</x:v>
      </x:c>
      <x:c r="F26" s="14" t="str">
        <x:v>calendar_year</x:v>
      </x:c>
      <x:c r="G26" s="45" t="n">
        <x:v>2763284338</x:v>
      </x:c>
      <x:c r="H26" s="45" t="str">
        <x:v>USD</x:v>
      </x:c>
      <x:c r="I26" s="45" t="n">
        <x:v>1.1827403100775</x:v>
      </x:c>
      <x:c r="J26" s="45" t="n">
        <x:f>G26/I26</x:f>
        <x:v>2336340711.866778</x:v>
      </x:c>
      <x:c r="K26" s="14" t="str">
        <x:v>ECB-EXR-A-USD-EUR-SP00-A-2021</x:v>
      </x:c>
      <x:c r="L26" s="14" t="str">
        <x:v>https://data-api.ecb.europa.eu/service/data/EXR/A.USD.EUR.SP00.A?startPeriod=2021&amp;endPeriod=2021&amp;format=csvdata</x:v>
      </x:c>
      <x:c r="M26" s="14" t="str">
        <x:v>computed</x:v>
      </x:c>
      <x:c r="N26" s="14" t="str">
        <x:v>original_amount_divided_by_ecb_annual_average</x:v>
      </x:c>
    </x:row>
    <x:row r="27" ht="25.5" customHeight="1">
      <x:c r="A27" s="14" t="str">
        <x:v>scenario_component</x:v>
      </x:c>
      <x:c r="B27" s="14" t="str">
        <x:v>NZ-2024-RETAIL-RANGE</x:v>
      </x:c>
      <x:c r="C27" s="14" t="str">
        <x:v>low.specialistRetailNzd</x:v>
      </x:c>
      <x:c r="D27" s="14" t="str">
        <x:v>New Zealand</x:v>
      </x:c>
      <x:c r="E27" s="14" t="n">
        <x:v>2024</x:v>
      </x:c>
      <x:c r="F27" s="14" t="str">
        <x:v>calendar_year</x:v>
      </x:c>
      <x:c r="G27" s="45" t="n">
        <x:v>258327110.88</x:v>
      </x:c>
      <x:c r="H27" s="45" t="str">
        <x:v>NZD</x:v>
      </x:c>
      <x:c r="I27" s="45" t="n">
        <x:v>1.788048828125</x:v>
      </x:c>
      <x:c r="J27" s="45" t="n">
        <x:f>G27/I27</x:f>
        <x:v>144474304.51375833</x:v>
      </x:c>
      <x:c r="K27" s="14" t="str">
        <x:v>ECB-EXR-A-NZD-EUR-SP00-A-2024</x:v>
      </x:c>
      <x:c r="L27" s="14" t="str">
        <x:v>https://data-api.ecb.europa.eu/service/data/EXR/A.NZD.EUR.SP00.A?startPeriod=2024&amp;endPeriod=2024&amp;format=csvdata</x:v>
      </x:c>
      <x:c r="M27" s="14" t="str">
        <x:v>computed</x:v>
      </x:c>
      <x:c r="N27" s="14" t="str">
        <x:v>original_amount_divided_by_ecb_annual_average</x:v>
      </x:c>
    </x:row>
    <x:row r="28" ht="25.5" customHeight="1">
      <x:c r="A28" s="14" t="str">
        <x:v>scenario_component</x:v>
      </x:c>
      <x:c r="B28" s="14" t="str">
        <x:v>NZ-2024-RETAIL-RANGE</x:v>
      </x:c>
      <x:c r="C28" s="14" t="str">
        <x:v>low.generalRetailRpsNzd</x:v>
      </x:c>
      <x:c r="D28" s="14" t="str">
        <x:v>New Zealand</x:v>
      </x:c>
      <x:c r="E28" s="14" t="n">
        <x:v>2024</x:v>
      </x:c>
      <x:c r="F28" s="14" t="str">
        <x:v>calendar_year</x:v>
      </x:c>
      <x:c r="G28" s="45" t="n">
        <x:v>275335272.8</x:v>
      </x:c>
      <x:c r="H28" s="45" t="str">
        <x:v>NZD</x:v>
      </x:c>
      <x:c r="I28" s="45" t="n">
        <x:v>1.788048828125</x:v>
      </x:c>
      <x:c r="J28" s="45" t="n">
        <x:f>G28/I28</x:f>
        <x:v>153986439.55865824</x:v>
      </x:c>
      <x:c r="K28" s="14" t="str">
        <x:v>ECB-EXR-A-NZD-EUR-SP00-A-2024</x:v>
      </x:c>
      <x:c r="L28" s="14" t="str">
        <x:v>https://data-api.ecb.europa.eu/service/data/EXR/A.NZD.EUR.SP00.A?startPeriod=2024&amp;endPeriod=2024&amp;format=csvdata</x:v>
      </x:c>
      <x:c r="M28" s="14" t="str">
        <x:v>computed</x:v>
      </x:c>
      <x:c r="N28" s="14" t="str">
        <x:v>original_amount_divided_by_ecb_annual_average</x:v>
      </x:c>
    </x:row>
    <x:row r="29" ht="25.5" customHeight="1">
      <x:c r="A29" s="14" t="str">
        <x:v>scenario_component</x:v>
      </x:c>
      <x:c r="B29" s="14" t="str">
        <x:v>NZ-2024-RETAIL-RANGE</x:v>
      </x:c>
      <x:c r="C29" s="14" t="str">
        <x:v>low.combinedNzd</x:v>
      </x:c>
      <x:c r="D29" s="14" t="str">
        <x:v>New Zealand</x:v>
      </x:c>
      <x:c r="E29" s="14" t="n">
        <x:v>2024</x:v>
      </x:c>
      <x:c r="F29" s="14" t="str">
        <x:v>calendar_year</x:v>
      </x:c>
      <x:c r="G29" s="45" t="n">
        <x:v>533662383.68</x:v>
      </x:c>
      <x:c r="H29" s="45" t="str">
        <x:v>NZD</x:v>
      </x:c>
      <x:c r="I29" s="45" t="n">
        <x:v>1.788048828125</x:v>
      </x:c>
      <x:c r="J29" s="45" t="n">
        <x:f>G29/I29</x:f>
        <x:v>298460744.0724166</x:v>
      </x:c>
      <x:c r="K29" s="14" t="str">
        <x:v>ECB-EXR-A-NZD-EUR-SP00-A-2024</x:v>
      </x:c>
      <x:c r="L29" s="14" t="str">
        <x:v>https://data-api.ecb.europa.eu/service/data/EXR/A.NZD.EUR.SP00.A?startPeriod=2024&amp;endPeriod=2024&amp;format=csvdata</x:v>
      </x:c>
      <x:c r="M29" s="14" t="str">
        <x:v>computed</x:v>
      </x:c>
      <x:c r="N29" s="14" t="str">
        <x:v>original_amount_divided_by_ecb_annual_average</x:v>
      </x:c>
    </x:row>
    <x:row r="30" ht="25.5" customHeight="1">
      <x:c r="A30" s="14" t="str">
        <x:v>scenario_component</x:v>
      </x:c>
      <x:c r="B30" s="14" t="str">
        <x:v>NZ-2024-RETAIL-RANGE</x:v>
      </x:c>
      <x:c r="C30" s="14" t="str">
        <x:v>base.specialistRetailNzd</x:v>
      </x:c>
      <x:c r="D30" s="14" t="str">
        <x:v>New Zealand</x:v>
      </x:c>
      <x:c r="E30" s="14" t="n">
        <x:v>2024</x:v>
      </x:c>
      <x:c r="F30" s="14" t="str">
        <x:v>calendar_year</x:v>
      </x:c>
      <x:c r="G30" s="45" t="n">
        <x:v>274180410.21</x:v>
      </x:c>
      <x:c r="H30" s="45" t="str">
        <x:v>NZD</x:v>
      </x:c>
      <x:c r="I30" s="45" t="n">
        <x:v>1.788048828125</x:v>
      </x:c>
      <x:c r="J30" s="45" t="n">
        <x:f>G30/I30</x:f>
        <x:v>153340560.89369413</x:v>
      </x:c>
      <x:c r="K30" s="14" t="str">
        <x:v>ECB-EXR-A-NZD-EUR-SP00-A-2024</x:v>
      </x:c>
      <x:c r="L30" s="14" t="str">
        <x:v>https://data-api.ecb.europa.eu/service/data/EXR/A.NZD.EUR.SP00.A?startPeriod=2024&amp;endPeriod=2024&amp;format=csvdata</x:v>
      </x:c>
      <x:c r="M30" s="14" t="str">
        <x:v>computed</x:v>
      </x:c>
      <x:c r="N30" s="14" t="str">
        <x:v>original_amount_divided_by_ecb_annual_average</x:v>
      </x:c>
    </x:row>
    <x:row r="31" ht="25.5" customHeight="1">
      <x:c r="A31" s="14" t="str">
        <x:v>scenario_component</x:v>
      </x:c>
      <x:c r="B31" s="14" t="str">
        <x:v>NZ-2024-RETAIL-RANGE</x:v>
      </x:c>
      <x:c r="C31" s="14" t="str">
        <x:v>base.generalRetailRpsNzd</x:v>
      </x:c>
      <x:c r="D31" s="14" t="str">
        <x:v>New Zealand</x:v>
      </x:c>
      <x:c r="E31" s="14" t="n">
        <x:v>2024</x:v>
      </x:c>
      <x:c r="F31" s="14" t="str">
        <x:v>calendar_year</x:v>
      </x:c>
      <x:c r="G31" s="45" t="n">
        <x:v>367631277.68</x:v>
      </x:c>
      <x:c r="H31" s="45" t="str">
        <x:v>NZD</x:v>
      </x:c>
      <x:c r="I31" s="45" t="n">
        <x:v>1.788048828125</x:v>
      </x:c>
      <x:c r="J31" s="45" t="n">
        <x:f>G31/I31</x:f>
        <x:v>205604719.4558489</x:v>
      </x:c>
      <x:c r="K31" s="14" t="str">
        <x:v>ECB-EXR-A-NZD-EUR-SP00-A-2024</x:v>
      </x:c>
      <x:c r="L31" s="14" t="str">
        <x:v>https://data-api.ecb.europa.eu/service/data/EXR/A.NZD.EUR.SP00.A?startPeriod=2024&amp;endPeriod=2024&amp;format=csvdata</x:v>
      </x:c>
      <x:c r="M31" s="14" t="str">
        <x:v>computed</x:v>
      </x:c>
      <x:c r="N31" s="14" t="str">
        <x:v>original_amount_divided_by_ecb_annual_average</x:v>
      </x:c>
    </x:row>
    <x:row r="32" ht="25.5" customHeight="1">
      <x:c r="A32" s="14" t="str">
        <x:v>scenario_component</x:v>
      </x:c>
      <x:c r="B32" s="14" t="str">
        <x:v>NZ-2024-RETAIL-RANGE</x:v>
      </x:c>
      <x:c r="C32" s="14" t="str">
        <x:v>base.combinedNzd</x:v>
      </x:c>
      <x:c r="D32" s="14" t="str">
        <x:v>New Zealand</x:v>
      </x:c>
      <x:c r="E32" s="14" t="n">
        <x:v>2024</x:v>
      </x:c>
      <x:c r="F32" s="14" t="str">
        <x:v>calendar_year</x:v>
      </x:c>
      <x:c r="G32" s="45" t="n">
        <x:v>641811687.89</x:v>
      </x:c>
      <x:c r="H32" s="45" t="str">
        <x:v>NZD</x:v>
      </x:c>
      <x:c r="I32" s="45" t="n">
        <x:v>1.788048828125</x:v>
      </x:c>
      <x:c r="J32" s="45" t="n">
        <x:f>G32/I32</x:f>
        <x:v>358945280.34954304</x:v>
      </x:c>
      <x:c r="K32" s="14" t="str">
        <x:v>ECB-EXR-A-NZD-EUR-SP00-A-2024</x:v>
      </x:c>
      <x:c r="L32" s="14" t="str">
        <x:v>https://data-api.ecb.europa.eu/service/data/EXR/A.NZD.EUR.SP00.A?startPeriod=2024&amp;endPeriod=2024&amp;format=csvdata</x:v>
      </x:c>
      <x:c r="M32" s="14" t="str">
        <x:v>computed</x:v>
      </x:c>
      <x:c r="N32" s="14" t="str">
        <x:v>original_amount_divided_by_ecb_annual_average</x:v>
      </x:c>
    </x:row>
    <x:row r="33" ht="25.5" customHeight="1">
      <x:c r="A33" s="14" t="str">
        <x:v>scenario_component</x:v>
      </x:c>
      <x:c r="B33" s="14" t="str">
        <x:v>NZ-2024-RETAIL-RANGE</x:v>
      </x:c>
      <x:c r="C33" s="14" t="str">
        <x:v>high.specialistRetailNzd</x:v>
      </x:c>
      <x:c r="D33" s="14" t="str">
        <x:v>New Zealand</x:v>
      </x:c>
      <x:c r="E33" s="14" t="n">
        <x:v>2024</x:v>
      </x:c>
      <x:c r="F33" s="14" t="str">
        <x:v>calendar_year</x:v>
      </x:c>
      <x:c r="G33" s="45" t="n">
        <x:v>274180410.21</x:v>
      </x:c>
      <x:c r="H33" s="45" t="str">
        <x:v>NZD</x:v>
      </x:c>
      <x:c r="I33" s="45" t="n">
        <x:v>1.788048828125</x:v>
      </x:c>
      <x:c r="J33" s="45" t="n">
        <x:f>G33/I33</x:f>
        <x:v>153340560.89369413</x:v>
      </x:c>
      <x:c r="K33" s="14" t="str">
        <x:v>ECB-EXR-A-NZD-EUR-SP00-A-2024</x:v>
      </x:c>
      <x:c r="L33" s="14" t="str">
        <x:v>https://data-api.ecb.europa.eu/service/data/EXR/A.NZD.EUR.SP00.A?startPeriod=2024&amp;endPeriod=2024&amp;format=csvdata</x:v>
      </x:c>
      <x:c r="M33" s="14" t="str">
        <x:v>computed</x:v>
      </x:c>
      <x:c r="N33" s="14" t="str">
        <x:v>original_amount_divided_by_ecb_annual_average</x:v>
      </x:c>
    </x:row>
    <x:row r="34" ht="25.5" customHeight="1">
      <x:c r="A34" s="14" t="str">
        <x:v>scenario_component</x:v>
      </x:c>
      <x:c r="B34" s="14" t="str">
        <x:v>NZ-2024-RETAIL-RANGE</x:v>
      </x:c>
      <x:c r="C34" s="14" t="str">
        <x:v>high.generalRetailRpsNzd</x:v>
      </x:c>
      <x:c r="D34" s="14" t="str">
        <x:v>New Zealand</x:v>
      </x:c>
      <x:c r="E34" s="14" t="n">
        <x:v>2024</x:v>
      </x:c>
      <x:c r="F34" s="14" t="str">
        <x:v>calendar_year</x:v>
      </x:c>
      <x:c r="G34" s="45" t="n">
        <x:v>456995382.29</x:v>
      </x:c>
      <x:c r="H34" s="45" t="str">
        <x:v>NZD</x:v>
      </x:c>
      <x:c r="I34" s="45" t="n">
        <x:v>1.788048828125</x:v>
      </x:c>
      <x:c r="J34" s="45" t="n">
        <x:f>G34/I34</x:f>
        <x:v>255583278.88015154</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high.combinedNzd</x:v>
      </x:c>
      <x:c r="D35" s="14" t="str">
        <x:v>New Zealand</x:v>
      </x:c>
      <x:c r="E35" s="14" t="n">
        <x:v>2024</x:v>
      </x:c>
      <x:c r="F35" s="14" t="str">
        <x:v>calendar_year</x:v>
      </x:c>
      <x:c r="G35" s="45" t="n">
        <x:v>731175792.5</x:v>
      </x:c>
      <x:c r="H35" s="45" t="str">
        <x:v>NZD</x:v>
      </x:c>
      <x:c r="I35" s="45" t="n">
        <x:v>1.788048828125</x:v>
      </x:c>
      <x:c r="J35" s="45" t="n">
        <x:f>G35/I35</x:f>
        <x:v>408923839.7738457</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model</x:v>
      </x:c>
      <x:c r="B36" s="14" t="str">
        <x:v>DE-2025-LIQUID-RETAIL-EQUIVALENT-RANGE</x:v>
      </x:c>
      <x:c r="C36" s="14" t="str">
        <x:v>low</x:v>
      </x:c>
      <x:c r="D36" s="14"/>
      <x:c r="E36" s="14" t="n">
        <x:v>2025</x:v>
      </x:c>
      <x:c r="F36" s="14" t="str">
        <x:v>calendar_year</x:v>
      </x:c>
      <x:c r="G36" s="45" t="n">
        <x:v>667920000</x:v>
      </x:c>
      <x:c r="H36" s="45" t="str">
        <x:v>EUR</x:v>
      </x:c>
      <x:c r="I36" s="45" t="n">
        <x:v>1</x:v>
      </x:c>
      <x:c r="J36" s="45" t="n">
        <x:f>G36</x:f>
        <x:v>667920000</x:v>
      </x:c>
      <x:c r="K36" s="14" t="str">
        <x:v>EUR-IDENTITY</x:v>
      </x:c>
      <x:c r="L36" s="14" t="str">
        <x:v>https://www.ecb.europa.eu/stats/policy_and_exchange_rates/euro_reference_exchange_rates/html/index.en.html</x:v>
      </x:c>
      <x:c r="M36" s="14" t="str">
        <x:v>already_eur</x:v>
      </x:c>
      <x:c r="N36" s="14" t="str">
        <x:v>original_currency_already_eur</x:v>
      </x:c>
    </x:row>
    <x:row r="37" ht="25.5" customHeight="1">
      <x:c r="A37" s="14" t="str">
        <x:v>model</x:v>
      </x:c>
      <x:c r="B37" s="14" t="str">
        <x:v>DE-2025-LIQUID-RETAIL-EQUIVALENT-RANGE</x:v>
      </x:c>
      <x:c r="C37" s="14" t="str">
        <x:v>central</x:v>
      </x:c>
      <x:c r="D37" s="14"/>
      <x:c r="E37" s="14" t="n">
        <x:v>2025</x:v>
      </x:c>
      <x:c r="F37" s="14" t="str">
        <x:v>calendar_year</x:v>
      </x:c>
      <x:c r="G37" s="45" t="n">
        <x:v>1199220000</x:v>
      </x:c>
      <x:c r="H37" s="45" t="str">
        <x:v>EUR</x:v>
      </x:c>
      <x:c r="I37" s="45" t="n">
        <x:v>1</x:v>
      </x:c>
      <x:c r="J37" s="45" t="n">
        <x:f>G37</x:f>
        <x:v>1199220000</x:v>
      </x:c>
      <x:c r="K37" s="14" t="str">
        <x:v>EUR-IDENTITY</x:v>
      </x:c>
      <x:c r="L37" s="14" t="str">
        <x:v>https://www.ecb.europa.eu/stats/policy_and_exchange_rates/euro_reference_exchange_rates/html/index.en.html</x:v>
      </x:c>
      <x:c r="M37" s="14" t="str">
        <x:v>already_eur</x:v>
      </x:c>
      <x:c r="N37" s="14" t="str">
        <x:v>original_currency_already_eur</x:v>
      </x:c>
    </x:row>
    <x:row r="38" ht="25.5" customHeight="1">
      <x:c r="A38" s="15" t="str">
        <x:v>model</x:v>
      </x:c>
      <x:c r="B38" s="15" t="str">
        <x:v>DE-2025-LIQUID-RETAIL-EQUIVALENT-RANGE</x:v>
      </x:c>
      <x:c r="C38" s="15" t="str">
        <x:v>high</x:v>
      </x:c>
      <x:c r="D38" s="15"/>
      <x:c r="E38" s="15" t="n">
        <x:v>2025</x:v>
      </x:c>
      <x:c r="F38" s="15" t="str">
        <x:v>calendar_year</x:v>
      </x:c>
      <x:c r="G38" s="46" t="n">
        <x:v>1654620000</x:v>
      </x:c>
      <x:c r="H38" s="46" t="str">
        <x:v>EUR</x:v>
      </x:c>
      <x:c r="I38" s="46" t="n">
        <x:v>1</x:v>
      </x:c>
      <x:c r="J38" s="46" t="n">
        <x:f>G38</x:f>
        <x:v>1654620000</x:v>
      </x:c>
      <x:c r="K38" s="15" t="str">
        <x:v>EUR-IDENTITY</x:v>
      </x:c>
      <x:c r="L38" s="15" t="str">
        <x:v>https://www.ecb.europa.eu/stats/policy_and_exchange_rates/euro_reference_exchange_rates/html/index.en.html</x:v>
      </x:c>
      <x:c r="M38" s="15" t="str">
        <x:v>already_eur</x:v>
      </x:c>
      <x:c r="N38" s="15" t="str">
        <x:v>original_currency_already_eur</x:v>
      </x:c>
    </x:row>
  </x:sheetData>
  <x:pageMargins left="0.7" right="0.7" top="0.75" bottom="0.75" header="0.3" footer="0.3"/>
  <x:tableParts count="1">
    <x:tablePart xmlns:r="http://schemas.openxmlformats.org/officeDocument/2006/relationships" r:id="R90a0407373924926"/>
  </x:tableParts>
</x:worksheet>
</file>