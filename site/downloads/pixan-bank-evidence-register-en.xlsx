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4abea735cf4295" /></Relationships>
</file>

<file path=xl/workbook.xml><?xml version="1.0" encoding="utf-8"?>
<x:workbook xmlns:x="http://schemas.openxmlformats.org/spreadsheetml/2006/main">
  <x:sheets>
    <x:sheet xmlns:r="http://schemas.openxmlformats.org/officeDocument/2006/relationships" name="Evidence Register" sheetId="1" r:id="Rb945fabde014491f"/>
    <x:sheet xmlns:r="http://schemas.openxmlformats.org/officeDocument/2006/relationships" name="Summary" sheetId="2" r:id="Rafe7e549148a418a"/>
    <x:sheet xmlns:r="http://schemas.openxmlformats.org/officeDocument/2006/relationships" name="Reviewer questions" sheetId="3" r:id="R390d8a44c361445e"/>
    <x:sheet xmlns:r="http://schemas.openxmlformats.org/officeDocument/2006/relationships" name="Sources" sheetId="4" r:id="Ra2e13610d16a4a3e"/>
    <x:sheet xmlns:r="http://schemas.openxmlformats.org/officeDocument/2006/relationships" name="EUR equivalents" sheetId="5" r:id="Red7ae603357a4d2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ec08c653f7430d" /><Relationship Type="http://schemas.openxmlformats.org/officeDocument/2006/relationships/theme" Target="/xl/theme/theme1.xml" Id="R7853bb0dd3be473f" /><Relationship Type="http://schemas.openxmlformats.org/officeDocument/2006/relationships/sharedStrings" Target="/xl/sharedStrings.xml" Id="Rec6fa72229af42ec" /><Relationship Type="http://schemas.openxmlformats.org/officeDocument/2006/relationships/worksheet" Target="/xl/worksheets/sheet1.xml" Id="Rb945fabde014491f" /><Relationship Type="http://schemas.openxmlformats.org/officeDocument/2006/relationships/worksheet" Target="/xl/worksheets/sheet2.xml" Id="Rafe7e549148a418a" /><Relationship Type="http://schemas.openxmlformats.org/officeDocument/2006/relationships/worksheet" Target="/xl/worksheets/sheet3.xml" Id="R390d8a44c361445e" /><Relationship Type="http://schemas.openxmlformats.org/officeDocument/2006/relationships/worksheet" Target="/xl/worksheets/sheet4.xml" Id="Ra2e13610d16a4a3e" /><Relationship Type="http://schemas.openxmlformats.org/officeDocument/2006/relationships/worksheet" Target="/xl/worksheets/sheet5.xml" Id="Red7ae603357a4d26"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1d826692a924b44" /></Relationships>
</file>

<file path=xl/worksheets/_rels/sheet3.xml.rels>&#65279;<?xml version="1.0" encoding="utf-8"?><Relationships xmlns="http://schemas.openxmlformats.org/package/2006/relationships"><Relationship Type="http://schemas.openxmlformats.org/officeDocument/2006/relationships/table" Target="/xl/tables/table2.xml" Id="Re275b761482347f4" /></Relationships>
</file>

<file path=xl/worksheets/_rels/sheet4.xml.rels>&#65279;<?xml version="1.0" encoding="utf-8"?><Relationships xmlns="http://schemas.openxmlformats.org/package/2006/relationships"><Relationship Type="http://schemas.openxmlformats.org/officeDocument/2006/relationships/table" Target="/xl/tables/table3.xml" Id="Rf2e9161dd0e9440d" /></Relationships>
</file>

<file path=xl/worksheets/_rels/sheet5.xml.rels>&#65279;<?xml version="1.0" encoding="utf-8"?><Relationships xmlns="http://schemas.openxmlformats.org/package/2006/relationships"><Relationship Type="http://schemas.openxmlformats.org/officeDocument/2006/relationships/table" Target="/xl/tables/table4.xml" Id="R57030ab94fca424f"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public market dataset contains 84 observations from 24 sources; its 75 official observations split into 39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2026-07-27</x:v>
      </x:c>
      <x:c r="F11" s="14" t="str">
        <x:v>84 = 48 market and model observations + 36 FHM structure counts; 75 official = 39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2026-07-27</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15" s="14" t="str">
        <x:v>2026-07-27</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site/data/third-donor-screen.json ; site/data/country-scenarios.json</x:v>
      </x:c>
      <x:c r="E19" s="14" t="str">
        <x:v>2026-07-27</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 ; source/CANADA_2024_D5_D7_D10_OFFICIAL_SOURCE_AUDIT.md</x:v>
      </x:c>
      <x:c r="E21" s="14" t="str">
        <x:v>2026-07-27</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Poland's official e-liquid flow was 1,451,529 litres in 2020, 277,265 litres in 2021, 416,088 litres in 2022 and 805,441 litres in 2023.</x:v>
      </x:c>
      <x:c r="B27" s="14" t="str">
        <x:v>Market size</x:v>
      </x:c>
      <x:c r="C27" s="14" t="str">
        <x:v>The ministry's parliamentary-response table combines domestic sales, intra-EU acquisitions and imports recorded in ZEFIR2/AIS. The series is a physical e-liquid flow, not consumer sales or observed retail market value.</x:v>
      </x:c>
      <x:c r="D27" s="14" t="str">
        <x:v>https://api.sejm.gov.pl/sejm/term10/interpellations/attachment/ATTDDEJZ5/i07255-o1.pdf</x:v>
      </x:c>
      <x:c r="E27" s="14" t="str">
        <x:v>2020–2023</x:v>
      </x:c>
      <x:c r="F27" s="14" t="str">
        <x:v>Direct reproduction of four official annual observations; years are not summed into a market value.</x:v>
      </x:c>
      <x:c r="G27" s="14" t="str">
        <x:v>The published table does not split domestic sales, intra-EU acquisitions and imports and contains no device value.</x:v>
      </x:c>
      <x:c r="H27" s="14" t="str">
        <x:v>Confirmed</x:v>
      </x:c>
      <x:c r="I27" s="14" t="str">
        <x:v>Consumer retail value, channel coverage, tax basis and independent reconciliation are required.</x:v>
      </x:c>
    </x:row>
    <x:row r="28" ht="58.5" customHeight="1">
      <x:c r="A28" s="14" t="str">
        <x:v>Poland's 2025 tax bridge yields 4,382,500 derived taxable e-cigarette devices and 62,500 derived taxable component sets.</x:v>
      </x:c>
      <x:c r="B28" s="14" t="str">
        <x:v>Market size</x:v>
      </x:c>
      <x:c r="C28" s="14" t="str">
        <x:v>The official parliamentary response reports PLN 993.1 million for e-liquids, PLN 175.3 million for devices and PLN 2.5 million for component sets. The device and component-set duty was PLN 40 per unit from 1 July 2025.</x:v>
      </x:c>
      <x:c r="D28" s="14" t="str">
        <x:v>https://api.sejm.gov.pl/sejm/term10/interpellations/attachment/ATTDVKHSJ/i17526-o1.pdf ; https://www.podatki.gov.pl/akcyza/stawki-podatkowe/</x:v>
      </x:c>
      <x:c r="E28" s="14" t="str">
        <x:v>2025</x:v>
      </x:c>
      <x:c r="F28" s="14" t="str">
        <x:v>PLN 175,300,000 / 40 = 4,382,500 taxable devices; PLN 2,500,000 / 40 = 62,500 taxable component sets.</x:v>
      </x:c>
      <x:c r="G28" s="14" t="str">
        <x:v>The derived tax base covers only devices and component sets taxed from 1 July 2025. It does not establish consumer prices, retail sales, untaxed quantities or stock transitions.</x:v>
      </x:c>
      <x:c r="H28" s="14" t="str">
        <x:v>Supported</x:v>
      </x:c>
      <x:c r="I28" s="14" t="str">
        <x:v>The monthly duty profile, finality, retail prices, channel coverage and independent reconciliation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39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2026-07-27</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c1d826692a924b4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2026.07.27-29</x:v>
      </x:c>
    </x:row>
    <x:row r="6" ht="20.25" customHeight="1">
      <x:c r="A6" s="29" t="str">
        <x:v>Updated</x:v>
      </x:c>
      <x:c r="B6" s="14" t="str">
        <x:v>2026-07-27</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28</x:v>
      </x:c>
    </x:row>
    <x:row r="12" ht="20.25" customHeight="1">
      <x:c r="A12" s="37" t="str">
        <x:v>Supported</x:v>
      </x:c>
      <x:c r="B12" s="14" t="n">
        <x:f>COUNTIF('Evidence Register'!$H$2:$H$54,A12)</x:f>
        <x:v>12</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e275b761482347f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2026-07-27</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2026-07-27</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2026-07-27</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2026-07-27</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2026-07-27</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2026-07-27</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2026-07-27</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2026-07-27</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2026-07-27</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2026-07-27</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2026-07-27</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2026-07-27</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2026-07-27</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2026-07-27</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2026-07-27</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2026-07-27</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2026-07-27</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2026-07-27</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2026-07-27</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2026-07-27</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2026-07-27</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2026-07-27</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2026-07-27</x:v>
      </x:c>
    </x:row>
    <x:row r="76" ht="31.5" customHeight="1">
      <x:c r="A76" s="14" t="str">
        <x:v>REGISTER-REFERENCE-9B93C76EF890</x:v>
      </x:c>
      <x:c r="B76" s="14" t="str">
        <x:v>data.ecb.europa.eu</x:v>
      </x:c>
      <x:c r="C76" s="14" t="str">
        <x:v>register_reference</x:v>
      </x:c>
      <x:c r="D76" s="14" t="str">
        <x:v>https://data.ecb.europa.eu/data/datasets/exr/data-information</x:v>
      </x:c>
      <x:c r="E76" s="14" t="str">
        <x:v>2026-07-27</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2026-07-27</x:v>
      </x:c>
    </x:row>
    <x:row r="78" ht="31.5" customHeight="1">
      <x:c r="A78" s="14" t="str">
        <x:v>REGISTER-REFERENCE-77110A089CB9</x:v>
      </x:c>
      <x:c r="B78" s="14" t="str">
        <x:v>laws-lois.justice.gc.ca</x:v>
      </x:c>
      <x:c r="C78" s="14" t="str">
        <x:v>register_reference</x:v>
      </x:c>
      <x:c r="D78" s="14" t="str">
        <x:v>https://laws-lois.justice.gc.ca/eng/regulations/SOR-2023-123/FullText.html</x:v>
      </x:c>
      <x:c r="E78" s="14" t="str">
        <x:v>2026-07-27</x:v>
      </x:c>
    </x:row>
    <x:row r="79" ht="31.5" customHeight="1">
      <x:c r="A79" s="14" t="str">
        <x:v>REGISTER-REFERENCE-50ED634F402A</x:v>
      </x:c>
      <x:c r="B79" s="14" t="str">
        <x:v>ecb.europa.eu</x:v>
      </x:c>
      <x:c r="C79" s="14" t="str">
        <x:v>register_reference</x:v>
      </x:c>
      <x:c r="D79" s="14" t="str">
        <x:v>https://www.ecb.europa.eu/stats/policy_and_exchange_rates/euro_reference_exchange_rates/html/index.en.html</x:v>
      </x:c>
      <x:c r="E79" s="14" t="str">
        <x:v>2026-07-27</x:v>
      </x:c>
    </x:row>
    <x:row r="80" ht="31.5" customHeight="1">
      <x:c r="A80" s="14" t="str">
        <x:v>SE-FHM-PUBLIC-RECORD-RESPONSE-2026-07-24</x:v>
      </x:c>
      <x:c r="B80" s="14" t="str">
        <x:v>Public Health Agency of Sweden</x:v>
      </x:c>
      <x:c r="C80" s="14" t="str">
        <x:v>official_reference</x:v>
      </x:c>
      <x:c r="D80" s="14" t="str">
        <x:v>https://www.folkhalsomyndigheten.se/regler-och-tillsyn/tobak-och-nikotinprodukter-regler-for-tillverkning-handel-och-hantering/elektroniska-cigaretter-och-pafyllningsbehallare-sa-foljer-du-reglerna/</x:v>
      </x:c>
      <x:c r="E80" s="14" t="str">
        <x:v>2026-07-27</x:v>
      </x:c>
    </x:row>
    <x:row r="81" ht="31.5" customHeight="1">
      <x:c r="A81" s="14" t="str">
        <x:v>US-FTC-E-CIGARETTE-REPORT-2015-2018</x:v>
      </x:c>
      <x:c r="B81" s="14" t="str">
        <x:v>Federal Trade Commission</x:v>
      </x:c>
      <x:c r="C81" s="14" t="str">
        <x:v>official_report</x:v>
      </x:c>
      <x:c r="D81" s="14" t="str">
        <x:v>https://www.ftc.gov/reports/e-cigarette-report-2015-2018</x:v>
      </x:c>
      <x:c r="E81" s="14" t="str">
        <x:v>2026-07-27</x:v>
      </x:c>
    </x:row>
    <x:row r="82" ht="31.5" customHeight="1">
      <x:c r="A82" s="14" t="str">
        <x:v>US-FTC-E-CIGARETTE-REPORT-2021</x:v>
      </x:c>
      <x:c r="B82" s="14" t="str">
        <x:v>Federal Trade Commission</x:v>
      </x:c>
      <x:c r="C82" s="14" t="str">
        <x:v>official_report</x:v>
      </x:c>
      <x:c r="D82" s="14" t="str">
        <x:v>https://www.ftc.gov/reports/e-cigarette-report-2021</x:v>
      </x:c>
      <x:c r="E82" s="14" t="str">
        <x:v>2026-07-27</x:v>
      </x:c>
    </x:row>
    <x:row r="83" ht="31.5" customHeight="1">
      <x:c r="A83" s="14" t="str">
        <x:v>REGISTER-REFERENCE-E034CF64F670</x:v>
      </x:c>
      <x:c r="B83" s="14" t="str">
        <x:v>health.govt.nz</x:v>
      </x:c>
      <x:c r="C83" s="14" t="str">
        <x:v>register_reference</x:v>
      </x:c>
      <x:c r="D83" s="14" t="str">
        <x:v>https://www.health.govt.nz/regulation-legislation/vaping-herbal-smoking-and-smokeless-tobacco/requirements/complete-a-notifiable-product-annual-return</x:v>
      </x:c>
      <x:c r="E83" s="14" t="str">
        <x:v>2026-07-27</x:v>
      </x:c>
    </x:row>
    <x:row r="84" ht="31.5" customHeight="1">
      <x:c r="A84" s="14" t="str">
        <x:v>REGISTER-REFERENCE-B5944DDC2320</x:v>
      </x:c>
      <x:c r="B84" s="14" t="str">
        <x:v>health.govt.nz</x:v>
      </x:c>
      <x:c r="C84" s="14" t="str">
        <x:v>register_reference</x:v>
      </x:c>
      <x:c r="D84" s="14" t="str">
        <x:v>https://www.health.govt.nz/system/files/2024-12/2024-annual-returns-user-guide.pdf</x:v>
      </x:c>
      <x:c r="E84" s="14" t="str">
        <x:v>2026-07-27</x:v>
      </x:c>
    </x:row>
    <x:row r="85" ht="31.5" customHeight="1">
      <x:c r="A85" s="14" t="str">
        <x:v>REGISTER-REFERENCE-7AD3E1157197</x:v>
      </x:c>
      <x:c r="B85" s="14" t="str">
        <x:v>podatki.gov.pl</x:v>
      </x:c>
      <x:c r="C85" s="14" t="str">
        <x:v>register_reference</x:v>
      </x:c>
      <x:c r="D85" s="14" t="str">
        <x:v>https://www.podatki.gov.pl/akcyza/stawki-podatkowe/</x:v>
      </x:c>
      <x:c r="E85" s="14" t="str">
        <x:v>2026-07-27</x:v>
      </x:c>
    </x:row>
    <x:row r="86" ht="31.5" customHeight="1">
      <x:c r="A86" s="14" t="str">
        <x:v>UN-MEMBER-STATES</x:v>
      </x:c>
      <x:c r="B86" s="14" t="str">
        <x:v>United Nations</x:v>
      </x:c>
      <x:c r="C86" s="14" t="str">
        <x:v>official_reference</x:v>
      </x:c>
      <x:c r="D86" s="14" t="str">
        <x:v>https://www.un.org/en/about-us/member-states</x:v>
      </x:c>
      <x:c r="E86" s="14" t="str">
        <x:v>2026-07-27</x:v>
      </x:c>
    </x:row>
    <x:row r="87" ht="31.5" customHeight="1">
      <x:c r="A87" s="14" t="str">
        <x:v>UN-NON-MEMBER-STATES</x:v>
      </x:c>
      <x:c r="B87" s="14" t="str">
        <x:v>United Nations</x:v>
      </x:c>
      <x:c r="C87" s="14" t="str">
        <x:v>official_reference</x:v>
      </x:c>
      <x:c r="D87" s="14" t="str">
        <x:v>https://www.un.org/en/about-us/non-member-states</x:v>
      </x:c>
      <x:c r="E87" s="14" t="str">
        <x:v>2026-07-27</x:v>
      </x:c>
    </x:row>
    <x:row r="88" ht="31.5" customHeight="1">
      <x:c r="A88" s="14" t="str">
        <x:v>REGISTER-REFERENCE-3332B0031C1D</x:v>
      </x:c>
      <x:c r="B88" s="14" t="str">
        <x:v>www150.statcan.gc.ca</x:v>
      </x:c>
      <x:c r="C88" s="14" t="str">
        <x:v>register_reference</x:v>
      </x:c>
      <x:c r="D88" s="14" t="str">
        <x:v>https://www150.statcan.gc.ca/t1/tbl1/en/tv.action?pid=2010007101</x:v>
      </x:c>
      <x:c r="E88" s="14" t="str">
        <x:v>2026-07-27</x:v>
      </x:c>
    </x:row>
    <x:row r="89" ht="31.5" customHeight="1">
      <x:c r="A89" s="15" t="str">
        <x:v>REGISTER-REFERENCE-D61AFC87FA19</x:v>
      </x:c>
      <x:c r="B89" s="15" t="str">
        <x:v>www150.statcan.gc.ca</x:v>
      </x:c>
      <x:c r="C89" s="15" t="str">
        <x:v>register_reference</x:v>
      </x:c>
      <x:c r="D89" s="15" t="str">
        <x:v>https://www150.statcan.gc.ca/t1/tbl1/en/tv.action?pid=2010008001</x:v>
      </x:c>
      <x:c r="E89" s="15" t="str">
        <x:v>2026-07-27</x:v>
      </x:c>
    </x:row>
  </x:sheetData>
  <x:pageMargins left="0.7" right="0.7" top="0.75" bottom="0.75" header="0.3" footer="0.3"/>
  <x:tableParts count="1">
    <x:tablePart xmlns:r="http://schemas.openxmlformats.org/officeDocument/2006/relationships" r:id="Rf2e9161dd0e9440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57030ab94fca424f"/>
  </x:tableParts>
</x:worksheet>
</file>