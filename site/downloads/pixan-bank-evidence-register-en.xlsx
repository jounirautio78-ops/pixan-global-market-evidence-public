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91f675b5e9043b4" /></Relationships>
</file>

<file path=xl/workbook.xml><?xml version="1.0" encoding="utf-8"?>
<x:workbook xmlns:x="http://schemas.openxmlformats.org/spreadsheetml/2006/main">
  <x:sheets>
    <x:sheet xmlns:r="http://schemas.openxmlformats.org/officeDocument/2006/relationships" name="Evidence Register" sheetId="1" r:id="R04994ae7b0a248b1"/>
    <x:sheet xmlns:r="http://schemas.openxmlformats.org/officeDocument/2006/relationships" name="Summary" sheetId="2" r:id="R43a72eb45d5d45da"/>
    <x:sheet xmlns:r="http://schemas.openxmlformats.org/officeDocument/2006/relationships" name="Reviewer questions" sheetId="3" r:id="R41543393e6e24031"/>
    <x:sheet xmlns:r="http://schemas.openxmlformats.org/officeDocument/2006/relationships" name="Sources" sheetId="4" r:id="Ra98da52778db4e33"/>
    <x:sheet xmlns:r="http://schemas.openxmlformats.org/officeDocument/2006/relationships" name="EUR equivalents" sheetId="5" r:id="R32afc492ea9547c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d70dcfe0714df4" /><Relationship Type="http://schemas.openxmlformats.org/officeDocument/2006/relationships/theme" Target="/xl/theme/theme1.xml" Id="R2f22f7eb42fd47b3" /><Relationship Type="http://schemas.openxmlformats.org/officeDocument/2006/relationships/sharedStrings" Target="/xl/sharedStrings.xml" Id="R5c7be1058e884bfb" /><Relationship Type="http://schemas.openxmlformats.org/officeDocument/2006/relationships/worksheet" Target="/xl/worksheets/sheet1.xml" Id="R04994ae7b0a248b1" /><Relationship Type="http://schemas.openxmlformats.org/officeDocument/2006/relationships/worksheet" Target="/xl/worksheets/sheet2.xml" Id="R43a72eb45d5d45da" /><Relationship Type="http://schemas.openxmlformats.org/officeDocument/2006/relationships/worksheet" Target="/xl/worksheets/sheet3.xml" Id="R41543393e6e24031" /><Relationship Type="http://schemas.openxmlformats.org/officeDocument/2006/relationships/worksheet" Target="/xl/worksheets/sheet4.xml" Id="Ra98da52778db4e33" /><Relationship Type="http://schemas.openxmlformats.org/officeDocument/2006/relationships/worksheet" Target="/xl/worksheets/sheet5.xml" Id="R32afc492ea9547c7"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90"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f964f126ca9443a" /></Relationships>
</file>

<file path=xl/worksheets/_rels/sheet3.xml.rels>&#65279;<?xml version="1.0" encoding="utf-8"?><Relationships xmlns="http://schemas.openxmlformats.org/package/2006/relationships"><Relationship Type="http://schemas.openxmlformats.org/officeDocument/2006/relationships/table" Target="/xl/tables/table2.xml" Id="R17d2109462c24865" /></Relationships>
</file>

<file path=xl/worksheets/_rels/sheet4.xml.rels>&#65279;<?xml version="1.0" encoding="utf-8"?><Relationships xmlns="http://schemas.openxmlformats.org/package/2006/relationships"><Relationship Type="http://schemas.openxmlformats.org/officeDocument/2006/relationships/table" Target="/xl/tables/table3.xml" Id="R892c33906a724eb2" /></Relationships>
</file>

<file path=xl/worksheets/_rels/sheet5.xml.rels>&#65279;<?xml version="1.0" encoding="utf-8"?><Relationships xmlns="http://schemas.openxmlformats.org/package/2006/relationships"><Relationship Type="http://schemas.openxmlformats.org/officeDocument/2006/relationships/table" Target="/xl/tables/table4.xml" Id="R9552970be04e4295"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no retail market value has been computed.</x:v>
      </x:c>
      <x:c r="B15" s="14" t="str">
        <x:v>Market size / Luxembourg</x:v>
      </x:c>
      <x:c r="C15" s="14" t="str">
        <x:v>The official rate is EUR 0.12 per ml from 2024-10-01, and fiscal marks carry liquid volume and mandatory consumer price.</x:v>
      </x:c>
      <x:c r="D15" s="14" t="str">
        <x:v>source/FIVE_COUNTRY_METHOD_SPRINT_2026-07-27.md (Luxembourg)</x:v>
      </x:c>
      <x:c r="E15" s="14" t="str">
        <x:v>2026-07-27</x:v>
      </x:c>
      <x:c r="F15" s="14" t="str">
        <x:v>Taxed litres = e-liquid-specific net excise / EUR 120 per litre; marked consumer-price value = sum(marked pack quantity × mandatory marked price).</x:v>
      </x:c>
      <x:c r="G15" s="14" t="str">
        <x:v>The volume and fiscal-mark calculations are not additive; foreign B2B dispatches, destruction, refunds and corrections are separated.</x:v>
      </x:c>
      <x:c r="H15" s="14" t="str">
        <x:v>Confirmed</x:v>
      </x:c>
      <x:c r="I15" s="14" t="str">
        <x:v>The national aggregate, fiscal-mark quantity and price fields,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84 observations from 24 sources; its 75 official observations split into 39 market measures and 36 Swedish FHM register-structure counts.</x:v>
      </x:c>
      <x:c r="B18" s="14" t="str">
        <x:v>Market size</x:v>
      </x:c>
      <x:c r="C18" s="14" t="str">
        <x:v>The market measures cover Canada, Germany, Finland,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2026-07-27</x:v>
      </x:c>
      <x:c r="F18" s="14" t="str">
        <x:v>84 = 48 market and model observations + 36 FHM structure counts; 75 official = 39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https://www.health.govt.nz/system/files/2024-12/2024-annual-returns-user-guide.pdf ; source/NZ_2024_DONOR_CLOSURE_PACK.md ; source/NZ_2024_D8_D10_OFFICIAL_SOURCE_AUDIT.md ; source/NZ_2024_WORKBOOK_MANIFEST.json ; source/NZ_2024_PRODUCT_SCOPE_AUDIT.json ; scripts/analyze_nz_2024_returns.py</x:v>
      </x:c>
      <x:c r="E22" s="14" t="str">
        <x:v>2026-07-27</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Observed general-retail value is absent, the GST basis is unknown, exact-row-deduplication sensitivity is not a corrected estimate and no independent reconciliation has passed.</x:v>
      </x:c>
      <x:c r="H22" s="14" t="str">
        <x:v>Supported</x:v>
      </x:c>
      <x:c r="I22" s="14" t="str">
        <x:v>D5 fails for missing national channel coverage; D8 GST basis and D10 independent reconciliation remain open. The donor gate remains 0/3.</x:v>
      </x:c>
    </x:row>
    <x:row r="23" ht="58.5" customHeight="1">
      <x:c r="A23" s="14" t="str">
        <x:v>New Zealand's separate supported 2024 RPS retail-sensitivity model is NZD 533,662,383.68–731,175,792.50, with a base case of NZD 641,811,687.89.</x:v>
      </x:c>
      <x:c r="B23" s="14" t="str">
        <x:v>Market size</x:v>
      </x:c>
      <x:c r="C23" s="14" t="str">
        <x:v>The combined low, base and high cases are NZD 533,662,383.68 / 641,811,687.89 / 731,175,792.50. The model combines the specialist-retailer anchor with a general-retailer quantity-and-price model.</x:v>
      </x:c>
      <x:c r="D23" s="14" t="str">
        <x:v>https://www.health.govt.nz/regulation-legislation/vaping-herbal-smoking-and-smokeless-tobacco/requirements/complete-a-notifiable-product-annual-return/annual-returns-2024 ; source/NZ_2024_RPS_RETAIL_VALUE_SENSITIVITY.md ; source/NZ_2024_DONOR_CLOSURE_PACK.md</x:v>
      </x:c>
      <x:c r="E23" s="14" t="str">
        <x:v>2026-07-26</x:v>
      </x:c>
      <x:c r="F23" s="14" t="str">
        <x:v>Low (exact-row deduplication): NZD 258,327,110.88 + 275,335,272.80 = 533,662,383.68. Base (reported/raw rows): NZD 274,180,410.21 + 367,631,277.68 = 641,811,687.89. High (reported/raw rows): NZD 274,180,410.21 + 456,995,382.29 = 731,175,792.50.</x:v>
      </x:c>
      <x:c r="G23" s="14" t="str">
        <x:v>GST treatment, return completeness and independent reconciliation are open; notifier supply-stage values are excluded.</x:v>
      </x:c>
      <x:c r="H23" s="14" t="str">
        <x:v>Supported</x:v>
      </x:c>
      <x:c r="I23" s="14" t="str">
        <x:v>Not an observed national value or accepted donor. Authority confirmation of scope and GST plus independent reproduction are required.</x:v>
      </x:c>
    </x:row>
    <x:row r="24" ht="58.5" customHeight="1">
      <x:c r="A24" s="14" t="str">
        <x:v>The new numerical reconstruction from the six official 2023 workbooks is intentionally not computed.</x:v>
      </x:c>
      <x:c r="B24" s="14" t="str">
        <x:v>Market size</x:v>
      </x:c>
      <x:c r="C24" s="14" t="str">
        <x:v>The Ministry's published aggregate is at least NZD 374 million and 2,570 returns. It covers all notifiable products, including heated tobacco, and the Ministry warns about data quality.</x:v>
      </x:c>
      <x:c r="D24" s="14" t="str">
        <x:v>https://www.health.govt.nz/regulation-legislation/vaping-herbal-smoking-and-smokeless-tobacco/requirements/complete-a-notifiable-product-annual-return/annual-returns-2023 ; source/NZ_2023_ANNUAL_RETURNS_FAIL_CLOSED.md</x:v>
      </x:c>
      <x:c r="E24" s="14" t="str">
        <x:v>2026-07-26</x:v>
      </x:c>
      <x:c r="F24" s="14" t="str">
        <x:v>Six official files are integrity-hashed; every new computation returns not_computed.</x:v>
      </x:c>
      <x:c r="G24" s="14" t="str">
        <x:v>Product scope, quantity fields, duplication, supply-chain level, tax basis and independent reconciliation remain unresolved.</x:v>
      </x:c>
      <x:c r="H24" s="14" t="str">
        <x:v>Confirmed</x:v>
      </x:c>
      <x:c r="I24" s="14" t="str">
        <x:v>A new 2023 vaping-only value is missing, and NZD 374 million must not be relabelled as a pure vaping market.</x:v>
      </x:c>
    </x:row>
    <x:row r="25" ht="58.5" customHeight="1">
      <x:c r="A25" s="14" t="str">
        <x:v>Official FTC tables yield USD 2,763,284,338 of reported cartridge-system-plus-disposable sales in 2021.</x:v>
      </x:c>
      <x:c r="B25" s="14" t="str">
        <x:v>Market size</x:v>
      </x:c>
      <x:c r="C25" s="14" t="str">
        <x:v>The seven-year 2015–2021 series sums the cartridge-system and disposable rows annually. The corrected 2020 table covers five prior recipients plus three of four new recipients; 2021 covers all nine recipients.</x:v>
      </x:c>
      <x:c r="D25" s="14" t="str">
        <x:v>https://www.ftc.gov/reports/e-cigarette-report-2015-2018 ; https://www.ftc.gov/reports/e-cigarette-report-2021 ; source/US_FTC_2015_2021_REPORTED_SALES.md</x:v>
      </x:c>
      <x:c r="E25" s="14" t="str">
        <x:v>2021</x:v>
      </x:c>
      <x:c r="F25" s="14" t="str">
        <x:v>Annual sum of FTC-table cartridge systems + disposable e-cigarette sales.</x:v>
      </x:c>
      <x:c r="G25" s="14" t="str">
        <x:v>The reporting population changes, open-system products are excluded, the level is manufacturer reporting and the tax basis is unstated.</x:v>
      </x:c>
      <x:c r="H25" s="14" t="str">
        <x:v>Supported</x:v>
      </x:c>
      <x:c r="I25" s="14" t="str">
        <x:v>Not complete national consumer-retail value or an accepted donor; an open POS or consumer-sales series and tax basis are required.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2026-07-27</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source/CANADA_2024_D5_D7_D10_OFFICIAL_SOURCE_AUDIT.md</x:v>
      </x:c>
      <x:c r="E28" s="14" t="str">
        <x:v>2026-07-27</x:v>
      </x:c>
      <x:c r="F28" s="14" t="str">
        <x:v>Monthly − quarterly = CAD 1,000 (0.000082%). Retail − shipments = CAD 58,406,203.22; retail / shipments − 1 = 5.031748%. ECB 2024: 1,219,160,000 / 1.482110546875 = EUR 822,583,715.21.</x:v>
      </x:c>
      <x:c r="G28" s="14" t="str">
        <x:v>D8 passes: CAD and exclusion of GST/HST, provincial sales taxes and excise are source-linked. The monthly route is same-survey QA, not D10; retail and shipments do not form a market range.</x:v>
      </x:c>
      <x:c r="H28" s="14" t="str">
        <x:v>Supported</x:v>
      </x:c>
      <x:c r="I28" s="14" t="str">
        <x:v>D5 NAICS 459993/459999 coverage, D7 annual error boundary and D10 retail-to-shipment reconciliation remain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e-cigarette devices and 62,500 derived taxable component sets.</x:v>
      </x:c>
      <x:c r="B35" s="14" t="str">
        <x:v>Market size</x:v>
      </x:c>
      <x:c r="C35" s="14" t="str">
        <x:v>The official parliamentary response reports PLN 993.1 million for e-liquids, PLN 175.3 million for devices and PLN 2.5 million for component sets. The device and component-set duty was PLN 40 per unit from 1 July 2025.</x:v>
      </x:c>
      <x:c r="D35" s="14" t="str">
        <x:v>https://api.sejm.gov.pl/sejm/term10/interpellations/attachment/ATTDVKHSJ/i17526-o1.pdf ; https://www.podatki.gov.pl/akcyza/stawki-podatkowe/</x:v>
      </x:c>
      <x:c r="E35" s="14" t="str">
        <x:v>2025</x:v>
      </x:c>
      <x:c r="F35" s="14" t="str">
        <x:v>PLN 175,300,000 / 40 = 4,382,500 taxable devices; PLN 2,500,000 / 40 = 62,500 taxable component sets.</x:v>
      </x:c>
      <x:c r="G35" s="14" t="str">
        <x:v>The derived tax base covers only devices and component sets taxed from 1 July 2025. It does not establish consumer prices, retail sales, untaxed quantities or stock transitions.</x:v>
      </x:c>
      <x:c r="H35" s="14" t="str">
        <x:v>Supported</x:v>
      </x:c>
      <x:c r="I35" s="14" t="str">
        <x:v>The monthly duty profile, finality, retail prices, channel coverage and independent reconciliation are required.</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39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5f964f126ca9443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2026.07.28-32</x:v>
      </x:c>
    </x:row>
    <x:row r="6" ht="20.25" customHeight="1">
      <x:c r="A6" s="29" t="str">
        <x:v>Updated</x:v>
      </x:c>
      <x:c r="B6" s="14" t="str">
        <x:v>2026-07-28</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34</x:v>
      </x:c>
    </x:row>
    <x:row r="12" ht="20.25" customHeight="1">
      <x:c r="A12" s="37" t="str">
        <x:v>Supported</x:v>
      </x:c>
      <x:c r="B12" s="14" t="n">
        <x:f>COUNTIF('Evidence Register'!$H$2:$H$61,A12)</x:f>
        <x:v>13</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17d2109462c2486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2026-07-28</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2026-07-28</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2026-07-28</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2026-07-28</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2026-07-28</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2026-07-28</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2026-07-28</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2026-07-28</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2026-07-28</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2026-07-28</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2026-07-28</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2026-07-28</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2026-07-28</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2026-07-28</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2026-07-28</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2026-07-28</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2026-07-28</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2026-07-28</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2026-07-28</x:v>
      </x:c>
    </x:row>
    <x:row r="72" ht="31.5" customHeight="1">
      <x:c r="A72" s="14" t="str">
        <x:v>REGISTER-REFERENCE-59446D8EB279</x:v>
      </x:c>
      <x:c r="B72" s="14" t="str">
        <x:v>data-api.ecb.europa.eu</x:v>
      </x:c>
      <x:c r="C72" s="14" t="str">
        <x:v>register_reference</x:v>
      </x:c>
      <x:c r="D72" s="14" t="str">
        <x:v>https://data-api.ecb.europa.eu/service/data/EXR/A.USD.EUR.SP00.A?startPeriod=2022&amp;endPeriod=2022&amp;format=csvdata</x:v>
      </x:c>
      <x:c r="E72" s="14" t="str">
        <x:v>2026-07-28</x:v>
      </x:c>
    </x:row>
    <x:row r="73" ht="31.5" customHeight="1">
      <x:c r="A73" s="14" t="str">
        <x:v>REGISTER-REFERENCE-BFB2E2E1B4A3</x:v>
      </x:c>
      <x:c r="B73" s="14" t="str">
        <x:v>data-api.ecb.europa.eu</x:v>
      </x:c>
      <x:c r="C73" s="14" t="str">
        <x:v>register_reference</x:v>
      </x:c>
      <x:c r="D73" s="14" t="str">
        <x:v>https://data-api.ecb.europa.eu/service/data/EXR/A.USD.EUR.SP00.A?startPeriod=2023&amp;endPeriod=2023&amp;format=csvdata</x:v>
      </x:c>
      <x:c r="E73" s="14" t="str">
        <x:v>2026-07-28</x:v>
      </x:c>
    </x:row>
    <x:row r="74" ht="31.5" customHeight="1">
      <x:c r="A74" s="14" t="str">
        <x:v>REGISTER-REFERENCE-D26C27B033B0</x:v>
      </x:c>
      <x:c r="B74" s="14" t="str">
        <x:v>data-api.ecb.europa.eu</x:v>
      </x:c>
      <x:c r="C74" s="14" t="str">
        <x:v>register_reference</x:v>
      </x:c>
      <x:c r="D74" s="14" t="str">
        <x:v>https://data-api.ecb.europa.eu/service/data/EXR/A.USD.EUR.SP00.A?startPeriod=2024&amp;endPeriod=2024&amp;format=csvdata</x:v>
      </x:c>
      <x:c r="E74" s="14" t="str">
        <x:v>2026-07-28</x:v>
      </x:c>
    </x:row>
    <x:row r="75" ht="31.5" customHeight="1">
      <x:c r="A75" s="14" t="str">
        <x:v>REGISTER-REFERENCE-32690599750D</x:v>
      </x:c>
      <x:c r="B75" s="14" t="str">
        <x:v>data-api.ecb.europa.eu</x:v>
      </x:c>
      <x:c r="C75" s="14" t="str">
        <x:v>register_reference</x:v>
      </x:c>
      <x:c r="D75" s="14" t="str">
        <x:v>https://data-api.ecb.europa.eu/service/data/EXR/A.USD.EUR.SP00.A?startPeriod=2025&amp;endPeriod=2025&amp;format=csvdata</x:v>
      </x:c>
      <x:c r="E75" s="14" t="str">
        <x:v>2026-07-28</x:v>
      </x:c>
    </x:row>
    <x:row r="76" ht="31.5" customHeight="1">
      <x:c r="A76" s="14" t="str">
        <x:v>REGISTER-REFERENCE-9B93C76EF890</x:v>
      </x:c>
      <x:c r="B76" s="14" t="str">
        <x:v>data.ecb.europa.eu</x:v>
      </x:c>
      <x:c r="C76" s="14" t="str">
        <x:v>register_reference</x:v>
      </x:c>
      <x:c r="D76" s="14" t="str">
        <x:v>https://data.ecb.europa.eu/data/datasets/exr/data-information</x:v>
      </x:c>
      <x:c r="E76" s="14" t="str">
        <x:v>2026-07-28</x:v>
      </x:c>
    </x:row>
    <x:row r="77" ht="31.5" customHeight="1">
      <x:c r="A77" s="14" t="str">
        <x:v>REGISTER-REFERENCE-2DA87527D51F</x:v>
      </x:c>
      <x:c r="B77" s="14" t="str">
        <x:v>datahelpdesk.worldbank.org</x:v>
      </x:c>
      <x:c r="C77" s="14" t="str">
        <x:v>register_reference</x:v>
      </x:c>
      <x:c r="D77" s="14" t="str">
        <x:v>https://datahelpdesk.worldbank.org/knowledgebase/articles/898581-api-basic-call-structures</x:v>
      </x:c>
      <x:c r="E77" s="14" t="str">
        <x:v>2026-07-28</x:v>
      </x:c>
    </x:row>
    <x:row r="78" ht="31.5" customHeight="1">
      <x:c r="A78" s="14" t="str">
        <x:v>REGISTER-REFERENCE-77110A089CB9</x:v>
      </x:c>
      <x:c r="B78" s="14" t="str">
        <x:v>laws-lois.justice.gc.ca</x:v>
      </x:c>
      <x:c r="C78" s="14" t="str">
        <x:v>register_reference</x:v>
      </x:c>
      <x:c r="D78" s="14" t="str">
        <x:v>https://laws-lois.justice.gc.ca/eng/regulations/SOR-2023-123/FullText.html</x:v>
      </x:c>
      <x:c r="E78" s="14" t="str">
        <x:v>2026-07-28</x:v>
      </x:c>
    </x:row>
    <x:row r="79" ht="31.5" customHeight="1">
      <x:c r="A79" s="14" t="str">
        <x:v>REGISTER-REFERENCE-A3B80D981A8D</x:v>
      </x:c>
      <x:c r="B79" s="14" t="str">
        <x:v>adm.gov.it</x:v>
      </x:c>
      <x:c r="C79" s="14" t="str">
        <x:v>register_reference</x:v>
      </x:c>
      <x:c r="D79" s="14" t="str">
        <x:v>https://www.adm.gov.it/portale/documents/20182/261920520/Libro+blu+2024+-+Relazione.pdf/e46989ce-b39f-a404-3b4b-2af3196cba43</x:v>
      </x:c>
      <x:c r="E79" s="14" t="str">
        <x:v>2026-07-28</x:v>
      </x:c>
    </x:row>
    <x:row r="80" ht="31.5" customHeight="1">
      <x:c r="A80" s="14" t="str">
        <x:v>REGISTER-REFERENCE-50ED634F402A</x:v>
      </x:c>
      <x:c r="B80" s="14" t="str">
        <x:v>ecb.europa.eu</x:v>
      </x:c>
      <x:c r="C80" s="14" t="str">
        <x:v>register_reference</x:v>
      </x:c>
      <x:c r="D80" s="14" t="str">
        <x:v>https://www.ecb.europa.eu/stats/policy_and_exchange_rates/euro_reference_exchange_rates/html/index.en.html</x:v>
      </x:c>
      <x:c r="E80" s="14" t="str">
        <x:v>2026-07-28</x:v>
      </x:c>
    </x:row>
    <x:row r="81" ht="31.5" customHeight="1">
      <x:c r="A81" s="14" t="str">
        <x:v>SE-FHM-PUBLIC-RECORD-RESPONSE-2026-07-24</x:v>
      </x:c>
      <x:c r="B81" s="14" t="str">
        <x:v>Public Health Agency of Sweden</x:v>
      </x:c>
      <x:c r="C81" s="14" t="str">
        <x:v>official_reference</x:v>
      </x:c>
      <x:c r="D81" s="14" t="str">
        <x:v>https://www.folkhalsomyndigheten.se/regler-och-tillsyn/tobak-och-nikotinprodukter-regler-for-tillverkning-handel-och-hantering/elektroniska-cigaretter-och-pafyllningsbehallare-sa-foljer-du-reglerna/</x:v>
      </x:c>
      <x:c r="E81" s="14" t="str">
        <x:v>2026-07-28</x:v>
      </x:c>
    </x:row>
    <x:row r="82" ht="31.5" customHeight="1">
      <x:c r="A82" s="14" t="str">
        <x:v>US-FTC-E-CIGARETTE-REPORT-2015-2018</x:v>
      </x:c>
      <x:c r="B82" s="14" t="str">
        <x:v>Federal Trade Commission</x:v>
      </x:c>
      <x:c r="C82" s="14" t="str">
        <x:v>official_report</x:v>
      </x:c>
      <x:c r="D82" s="14" t="str">
        <x:v>https://www.ftc.gov/reports/e-cigarette-report-2015-2018</x:v>
      </x:c>
      <x:c r="E82" s="14" t="str">
        <x:v>2026-07-28</x:v>
      </x:c>
    </x:row>
    <x:row r="83" ht="31.5" customHeight="1">
      <x:c r="A83" s="14" t="str">
        <x:v>US-FTC-E-CIGARETTE-REPORT-2021</x:v>
      </x:c>
      <x:c r="B83" s="14" t="str">
        <x:v>Federal Trade Commission</x:v>
      </x:c>
      <x:c r="C83" s="14" t="str">
        <x:v>official_report</x:v>
      </x:c>
      <x:c r="D83" s="14" t="str">
        <x:v>https://www.ftc.gov/reports/e-cigarette-report-2021</x:v>
      </x:c>
      <x:c r="E83" s="14" t="str">
        <x:v>2026-07-28</x:v>
      </x:c>
    </x:row>
    <x:row r="84" ht="31.5" customHeight="1">
      <x:c r="A84" s="14" t="str">
        <x:v>REGISTER-REFERENCE-E034CF64F670</x:v>
      </x:c>
      <x:c r="B84" s="14" t="str">
        <x:v>health.govt.nz</x:v>
      </x:c>
      <x:c r="C84" s="14" t="str">
        <x:v>register_reference</x:v>
      </x:c>
      <x:c r="D84" s="14" t="str">
        <x:v>https://www.health.govt.nz/regulation-legislation/vaping-herbal-smoking-and-smokeless-tobacco/requirements/complete-a-notifiable-product-annual-return</x:v>
      </x:c>
      <x:c r="E84" s="14" t="str">
        <x:v>2026-07-28</x:v>
      </x:c>
    </x:row>
    <x:row r="85" ht="31.5" customHeight="1">
      <x:c r="A85" s="14" t="str">
        <x:v>REGISTER-REFERENCE-B5944DDC2320</x:v>
      </x:c>
      <x:c r="B85" s="14" t="str">
        <x:v>health.govt.nz</x:v>
      </x:c>
      <x:c r="C85" s="14" t="str">
        <x:v>register_reference</x:v>
      </x:c>
      <x:c r="D85" s="14" t="str">
        <x:v>https://www.health.govt.nz/system/files/2024-12/2024-annual-returns-user-guide.pdf</x:v>
      </x:c>
      <x:c r="E85" s="14" t="str">
        <x:v>2026-07-28</x:v>
      </x:c>
    </x:row>
    <x:row r="86" ht="31.5" customHeight="1">
      <x:c r="A86" s="14" t="str">
        <x:v>REGISTER-REFERENCE-7AD3E1157197</x:v>
      </x:c>
      <x:c r="B86" s="14" t="str">
        <x:v>podatki.gov.pl</x:v>
      </x:c>
      <x:c r="C86" s="14" t="str">
        <x:v>register_reference</x:v>
      </x:c>
      <x:c r="D86" s="14" t="str">
        <x:v>https://www.podatki.gov.pl/akcyza/stawki-podatkowe/</x:v>
      </x:c>
      <x:c r="E86" s="14" t="str">
        <x:v>2026-07-28</x:v>
      </x:c>
    </x:row>
    <x:row r="87" ht="31.5" customHeight="1">
      <x:c r="A87" s="14" t="str">
        <x:v>UN-MEMBER-STATES</x:v>
      </x:c>
      <x:c r="B87" s="14" t="str">
        <x:v>United Nations</x:v>
      </x:c>
      <x:c r="C87" s="14" t="str">
        <x:v>official_reference</x:v>
      </x:c>
      <x:c r="D87" s="14" t="str">
        <x:v>https://www.un.org/en/about-us/member-states</x:v>
      </x:c>
      <x:c r="E87" s="14" t="str">
        <x:v>2026-07-28</x:v>
      </x:c>
    </x:row>
    <x:row r="88" ht="31.5" customHeight="1">
      <x:c r="A88" s="14" t="str">
        <x:v>UN-NON-MEMBER-STATES</x:v>
      </x:c>
      <x:c r="B88" s="14" t="str">
        <x:v>United Nations</x:v>
      </x:c>
      <x:c r="C88" s="14" t="str">
        <x:v>official_reference</x:v>
      </x:c>
      <x:c r="D88" s="14" t="str">
        <x:v>https://www.un.org/en/about-us/non-member-states</x:v>
      </x:c>
      <x:c r="E88" s="14" t="str">
        <x:v>2026-07-28</x:v>
      </x:c>
    </x:row>
    <x:row r="89" ht="31.5" customHeight="1">
      <x:c r="A89" s="14" t="str">
        <x:v>REGISTER-REFERENCE-3332B0031C1D</x:v>
      </x:c>
      <x:c r="B89" s="14" t="str">
        <x:v>www150.statcan.gc.ca</x:v>
      </x:c>
      <x:c r="C89" s="14" t="str">
        <x:v>register_reference</x:v>
      </x:c>
      <x:c r="D89" s="14" t="str">
        <x:v>https://www150.statcan.gc.ca/t1/tbl1/en/tv.action?pid=2010007101</x:v>
      </x:c>
      <x:c r="E89" s="14" t="str">
        <x:v>2026-07-28</x:v>
      </x:c>
    </x:row>
    <x:row r="90" ht="31.5" customHeight="1">
      <x:c r="A90" s="15" t="str">
        <x:v>REGISTER-REFERENCE-D61AFC87FA19</x:v>
      </x:c>
      <x:c r="B90" s="15" t="str">
        <x:v>www150.statcan.gc.ca</x:v>
      </x:c>
      <x:c r="C90" s="15" t="str">
        <x:v>register_reference</x:v>
      </x:c>
      <x:c r="D90" s="15" t="str">
        <x:v>https://www150.statcan.gc.ca/t1/tbl1/en/tv.action?pid=2010008001</x:v>
      </x:c>
      <x:c r="E90" s="15" t="str">
        <x:v>2026-07-28</x:v>
      </x:c>
    </x:row>
  </x:sheetData>
  <x:pageMargins left="0.7" right="0.7" top="0.75" bottom="0.75" header="0.3" footer="0.3"/>
  <x:tableParts count="1">
    <x:tablePart xmlns:r="http://schemas.openxmlformats.org/officeDocument/2006/relationships" r:id="R892c33906a724eb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9552970be04e4295"/>
  </x:tableParts>
</x:worksheet>
</file>